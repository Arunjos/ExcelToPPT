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90" windowWidth="14355" windowHeight="4680" firstSheet="4" activeTab="6"/>
  </bookViews>
  <sheets>
    <sheet name="CP5" sheetId="4" state="hidden" r:id="rId1"/>
    <sheet name="CP5 (v2)" sheetId="6" state="hidden" r:id="rId2"/>
    <sheet name="CP5 (v3)" sheetId="7" state="hidden" r:id="rId3"/>
    <sheet name="CP5 (v4)" sheetId="8" state="hidden" r:id="rId4"/>
    <sheet name="Help" sheetId="19" r:id="rId5"/>
    <sheet name="Key Successor Talent Review" sheetId="18" r:id="rId6"/>
    <sheet name="ADMIN" sheetId="20" r:id="rId7"/>
    <sheet name="Sheet1" sheetId="21" state="hidden" r:id="rId8"/>
  </sheets>
  <functionGroups/>
  <externalReferences>
    <externalReference r:id="rId9"/>
  </externalReferences>
  <definedNames>
    <definedName name="CD_1_1">'[1]Performance Modelling'!$H$13</definedName>
    <definedName name="CD_1_3">'[1]Performance Modelling'!$H$15</definedName>
    <definedName name="CD_1_4">'[1]Performance Modelling'!$H$16</definedName>
    <definedName name="CD_2_2">'[1]Performance Modelling'!$I$14</definedName>
    <definedName name="CD_3_2">'[1]Performance Modelling'!$J$14</definedName>
    <definedName name="CD_4_2">'[1]Performance Modelling'!$K$14</definedName>
    <definedName name="CD_5_2">'[1]Performance Modelling'!$L$14</definedName>
    <definedName name="CD_6_2">'[1]Performance Modelling'!$M$14</definedName>
    <definedName name="CD_7_2">'[1]Performance Modelling'!$N$14</definedName>
    <definedName name="e_1_body">'[1]Email Templates'!#REF!</definedName>
    <definedName name="e_1_subj">'[1]Email Templates'!$D$4</definedName>
    <definedName name="e_1_team">'[1]Email Templates'!$G$17</definedName>
    <definedName name="e_2_body">'[1]Email Templates'!#REF!</definedName>
    <definedName name="e_2_subj">'[1]Email Templates'!$D$63</definedName>
    <definedName name="e_2_team">'[1]Email Templates'!$G$63</definedName>
    <definedName name="e_3_body">'[1]Email Templates'!#REF!</definedName>
    <definedName name="e_3_name">'[1]Email Templates'!$G$150</definedName>
    <definedName name="e_3_team">'[1]Email Templates'!$G$145</definedName>
    <definedName name="e_4_duplicates">'[1]Email Templates'!$G$212</definedName>
    <definedName name="EVI_Score1">ADMIN!$B$10</definedName>
    <definedName name="EVI_Score2">ADMIN!$B$11</definedName>
    <definedName name="EVI_Score3">ADMIN!$B$12</definedName>
    <definedName name="PMP_Y1">ADMIN!$E$4</definedName>
    <definedName name="PMP_Y2">ADMIN!$E$5</definedName>
    <definedName name="PMP_Y3">ADMIN!$E$6</definedName>
    <definedName name="_xlnm.Print_Titles" localSheetId="5">'Key Successor Talent Review'!$17:$17</definedName>
    <definedName name="r_job_type_1">'[1]Developer''s Tab'!$E$3</definedName>
    <definedName name="r_lang">'[1]Developer''s Tab'!$F$7</definedName>
    <definedName name="r_PVAAM">'[1]Developer''s Tab'!$E$22</definedName>
    <definedName name="r_Team_Members">'[1]Performance Modelling'!$B$22</definedName>
    <definedName name="sht">'[1]Developer''s Tab'!$AD$39</definedName>
    <definedName name="unr_en">'[1]Developer''s Tab'!$F$49</definedName>
    <definedName name="unr_fr">'[1]Developer''s Tab'!$F$48</definedName>
  </definedNames>
  <calcPr calcId="124519"/>
  <fileRecoveryPr repairLoad="1"/>
</workbook>
</file>

<file path=xl/calcChain.xml><?xml version="1.0" encoding="utf-8"?>
<calcChain xmlns="http://schemas.openxmlformats.org/spreadsheetml/2006/main">
  <c r="N146" i="18"/>
  <c r="I146" s="1"/>
  <c r="F244"/>
  <c r="F241"/>
  <c r="D241"/>
  <c r="C241"/>
  <c r="B241"/>
  <c r="D239"/>
  <c r="C239"/>
  <c r="B239"/>
  <c r="F237"/>
  <c r="F234"/>
  <c r="F231"/>
  <c r="V230"/>
  <c r="R230" s="1"/>
  <c r="N230"/>
  <c r="I230" s="1"/>
  <c r="F223"/>
  <c r="F220"/>
  <c r="D220"/>
  <c r="C220"/>
  <c r="B220"/>
  <c r="D218"/>
  <c r="C218"/>
  <c r="B218"/>
  <c r="F216"/>
  <c r="F213"/>
  <c r="F210"/>
  <c r="V209"/>
  <c r="R209" s="1"/>
  <c r="N209"/>
  <c r="I209" s="1"/>
  <c r="F202"/>
  <c r="F199"/>
  <c r="D199"/>
  <c r="C199"/>
  <c r="B199"/>
  <c r="D197"/>
  <c r="C197"/>
  <c r="B197"/>
  <c r="F195"/>
  <c r="F192"/>
  <c r="F189"/>
  <c r="V188"/>
  <c r="R188" s="1"/>
  <c r="N188"/>
  <c r="I188" s="1"/>
  <c r="F181"/>
  <c r="F178"/>
  <c r="D178"/>
  <c r="C178"/>
  <c r="B178"/>
  <c r="D176"/>
  <c r="C176"/>
  <c r="B176"/>
  <c r="F174"/>
  <c r="F171"/>
  <c r="F168"/>
  <c r="V167"/>
  <c r="R167" s="1"/>
  <c r="N167"/>
  <c r="I167" s="1"/>
  <c r="F160"/>
  <c r="F157"/>
  <c r="D157"/>
  <c r="C157"/>
  <c r="B157"/>
  <c r="D155"/>
  <c r="C155"/>
  <c r="B155"/>
  <c r="F153"/>
  <c r="F150"/>
  <c r="F147"/>
  <c r="V146"/>
  <c r="R146" s="1"/>
  <c r="D136"/>
  <c r="C136"/>
  <c r="B136"/>
  <c r="D115"/>
  <c r="C115"/>
  <c r="B115"/>
  <c r="D94"/>
  <c r="C94"/>
  <c r="B94"/>
  <c r="D73"/>
  <c r="C73"/>
  <c r="B73"/>
  <c r="D52"/>
  <c r="C52"/>
  <c r="B52"/>
  <c r="D134"/>
  <c r="C134"/>
  <c r="B134"/>
  <c r="D113"/>
  <c r="C113"/>
  <c r="B113"/>
  <c r="D92"/>
  <c r="C92"/>
  <c r="B92"/>
  <c r="D71"/>
  <c r="C71"/>
  <c r="B71"/>
  <c r="D50"/>
  <c r="C50"/>
  <c r="B50"/>
  <c r="D31"/>
  <c r="C31"/>
  <c r="B31"/>
  <c r="D29"/>
  <c r="C29"/>
  <c r="B29"/>
  <c r="F139"/>
  <c r="F136"/>
  <c r="F132"/>
  <c r="F129"/>
  <c r="F126"/>
  <c r="F118"/>
  <c r="F115"/>
  <c r="F111"/>
  <c r="F108"/>
  <c r="F105"/>
  <c r="F97"/>
  <c r="F94"/>
  <c r="F90"/>
  <c r="F87"/>
  <c r="F84"/>
  <c r="F76"/>
  <c r="F73"/>
  <c r="F69"/>
  <c r="F66"/>
  <c r="F63"/>
  <c r="F55"/>
  <c r="F52"/>
  <c r="F48"/>
  <c r="F45"/>
  <c r="F31"/>
  <c r="F27"/>
  <c r="F24"/>
  <c r="F42"/>
  <c r="V125"/>
  <c r="R125" s="1"/>
  <c r="N125"/>
  <c r="I125" s="1"/>
  <c r="V104"/>
  <c r="R104" s="1"/>
  <c r="N104"/>
  <c r="I104" s="1"/>
  <c r="V83"/>
  <c r="R83" s="1"/>
  <c r="N83"/>
  <c r="I83" s="1"/>
  <c r="V62"/>
  <c r="R62" s="1"/>
  <c r="N62"/>
  <c r="I62" s="1"/>
  <c r="N41"/>
  <c r="I41" s="1"/>
  <c r="V41"/>
  <c r="R41" s="1"/>
  <c r="V20"/>
  <c r="R20" s="1"/>
  <c r="N20"/>
  <c r="I20" s="1"/>
  <c r="F34"/>
  <c r="F21"/>
</calcChain>
</file>

<file path=xl/sharedStrings.xml><?xml version="1.0" encoding="utf-8"?>
<sst xmlns="http://schemas.openxmlformats.org/spreadsheetml/2006/main" count="1101" uniqueCount="188">
  <si>
    <t>Successor To:</t>
  </si>
  <si>
    <t>Current Role:</t>
  </si>
  <si>
    <t>Name of Assessor:</t>
  </si>
  <si>
    <t>EVI Score</t>
  </si>
  <si>
    <t>PMP Rating</t>
  </si>
  <si>
    <t>Date:</t>
  </si>
  <si>
    <t>Leadership Traits</t>
  </si>
  <si>
    <t>Business Insights</t>
  </si>
  <si>
    <t>Manages Complexity</t>
  </si>
  <si>
    <t>Plans and Aligns</t>
  </si>
  <si>
    <t>Drives results</t>
  </si>
  <si>
    <t>Builds Networks</t>
  </si>
  <si>
    <t>Develops Talent</t>
  </si>
  <si>
    <t>Builds Effective teams</t>
  </si>
  <si>
    <t>Drives Vision and Purpose</t>
  </si>
  <si>
    <t>Demonstrates Self-Awareness</t>
  </si>
  <si>
    <t>Manages Ambiguity</t>
  </si>
  <si>
    <t>Being resilient</t>
  </si>
  <si>
    <t>Situational Adaptability</t>
  </si>
  <si>
    <t>Unskilled</t>
  </si>
  <si>
    <t>Skilled</t>
  </si>
  <si>
    <t>Talented</t>
  </si>
  <si>
    <t>Select</t>
  </si>
  <si>
    <t>Agility</t>
  </si>
  <si>
    <t>Yes</t>
  </si>
  <si>
    <t xml:space="preserve">No </t>
  </si>
  <si>
    <t>Developing</t>
  </si>
  <si>
    <t>Drivers</t>
  </si>
  <si>
    <t>Name of leader being assessed:</t>
  </si>
  <si>
    <t>Base Salary</t>
  </si>
  <si>
    <t>N/A</t>
  </si>
  <si>
    <t>Readiness</t>
  </si>
  <si>
    <r>
      <rPr>
        <b/>
        <sz val="11"/>
        <color theme="1"/>
        <rFont val="Calibri"/>
        <family val="2"/>
        <scheme val="minor"/>
      </rPr>
      <t>Advancement Drive</t>
    </r>
    <r>
      <rPr>
        <sz val="11"/>
        <color theme="1"/>
        <rFont val="Calibri"/>
        <family val="2"/>
        <scheme val="minor"/>
      </rPr>
      <t xml:space="preserve"> - Does this leader have ambition and passion to grow, development and progress into higher-level leadership?</t>
    </r>
  </si>
  <si>
    <t>Select level</t>
  </si>
  <si>
    <t>Aware / Developing</t>
  </si>
  <si>
    <t>Decision Quality</t>
  </si>
  <si>
    <t>Awareness</t>
  </si>
  <si>
    <t>Derailers</t>
  </si>
  <si>
    <r>
      <rPr>
        <b/>
        <sz val="11"/>
        <color theme="1"/>
        <rFont val="Calibri"/>
        <family val="2"/>
        <scheme val="minor"/>
      </rPr>
      <t>Self-awareness</t>
    </r>
    <r>
      <rPr>
        <sz val="11"/>
        <color theme="1"/>
        <rFont val="Calibri"/>
        <family val="2"/>
        <scheme val="minor"/>
      </rPr>
      <t xml:space="preserve"> - Is this leader aware of their strengths and weeknesses?</t>
    </r>
  </si>
  <si>
    <r>
      <rPr>
        <b/>
        <sz val="11"/>
        <color theme="1"/>
        <rFont val="Calibri"/>
        <family val="2"/>
        <scheme val="minor"/>
      </rPr>
      <t xml:space="preserve">Situational self-awareness </t>
    </r>
    <r>
      <rPr>
        <sz val="11"/>
        <color theme="1"/>
        <rFont val="Calibri"/>
        <family val="2"/>
        <scheme val="minor"/>
      </rPr>
      <t>-  Is this leader highly aware of the impact they have on the people and situations around them?</t>
    </r>
  </si>
  <si>
    <t>Is this leader effective in dealing with new and different situations?</t>
  </si>
  <si>
    <t>Does this leader learn from experiences and successfully applies that learning  to new, first time, ambiguous situations?</t>
  </si>
  <si>
    <r>
      <rPr>
        <b/>
        <sz val="11"/>
        <color theme="1"/>
        <rFont val="Calibri"/>
        <family val="2"/>
        <scheme val="minor"/>
      </rPr>
      <t>Volatile</t>
    </r>
    <r>
      <rPr>
        <sz val="11"/>
        <color theme="1"/>
        <rFont val="Calibri"/>
        <family val="2"/>
        <scheme val="minor"/>
      </rPr>
      <t xml:space="preserve"> - Is this leader easily provoked, reactions can be unpredicable?</t>
    </r>
  </si>
  <si>
    <r>
      <rPr>
        <b/>
        <sz val="11"/>
        <color theme="1"/>
        <rFont val="Calibri"/>
        <family val="2"/>
        <scheme val="minor"/>
      </rPr>
      <t>Micromanaging</t>
    </r>
    <r>
      <rPr>
        <sz val="11"/>
        <color theme="1"/>
        <rFont val="Calibri"/>
        <family val="2"/>
        <scheme val="minor"/>
      </rPr>
      <t xml:space="preserve"> - Does this leader insist on how work is completed and monitors others closely?</t>
    </r>
  </si>
  <si>
    <r>
      <rPr>
        <b/>
        <sz val="11"/>
        <color theme="1"/>
        <rFont val="Calibri"/>
        <family val="2"/>
        <scheme val="minor"/>
      </rPr>
      <t>Closed</t>
    </r>
    <r>
      <rPr>
        <sz val="11"/>
        <color theme="1"/>
        <rFont val="Calibri"/>
        <family val="2"/>
        <scheme val="minor"/>
      </rPr>
      <t xml:space="preserve"> - Does this leader have rigid preferences and opnions?</t>
    </r>
  </si>
  <si>
    <t>Factor I: Thought</t>
  </si>
  <si>
    <t>Factor II:  Results</t>
  </si>
  <si>
    <t>Factor III: People</t>
  </si>
  <si>
    <t>Factor IV:  Self</t>
  </si>
  <si>
    <t>Lauching a new service or product</t>
  </si>
  <si>
    <t>Starting up a new organization, business, line of business or location</t>
  </si>
  <si>
    <t>Merging with or aquiring another organization or business</t>
  </si>
  <si>
    <t>Expereinces</t>
  </si>
  <si>
    <t>Follow-up / Next steps | Action:</t>
  </si>
  <si>
    <t>Closing down or divesting an aroganization, business, line of business or location</t>
  </si>
  <si>
    <t>Turning around an underperforming organization, business, line of business, or location</t>
  </si>
  <si>
    <t>Negotiating a large-scale, critical deal, contract or labor agreement</t>
  </si>
  <si>
    <t>Dealing with a significant large-scale change initiative</t>
  </si>
  <si>
    <t>P&amp;L responsibility</t>
  </si>
  <si>
    <r>
      <rPr>
        <b/>
        <sz val="11"/>
        <color theme="1"/>
        <rFont val="Calibri"/>
        <family val="2"/>
        <scheme val="minor"/>
      </rPr>
      <t xml:space="preserve">Self-awareness </t>
    </r>
    <r>
      <rPr>
        <sz val="11"/>
        <color theme="1"/>
        <rFont val="Calibri"/>
        <family val="2"/>
        <scheme val="minor"/>
      </rPr>
      <t>- Is this leader aware of their strengths and weeknesses?</t>
    </r>
  </si>
  <si>
    <t>Experiences</t>
  </si>
  <si>
    <t>Follow-up | Next Steps | Actions</t>
  </si>
  <si>
    <t>People leader traits:</t>
  </si>
  <si>
    <t>Ready Now</t>
  </si>
  <si>
    <t>Ready Mid-term (1-2 years)</t>
  </si>
  <si>
    <t>Ready Future (2-4 years)</t>
  </si>
  <si>
    <t>Aware</t>
  </si>
  <si>
    <t>People Leadership</t>
  </si>
  <si>
    <t>Build and Leverage Talent</t>
  </si>
  <si>
    <t>Drive Team Effectiveness</t>
  </si>
  <si>
    <t>Lead with Confidence</t>
  </si>
  <si>
    <t>Strategic Leadership</t>
  </si>
  <si>
    <t>Transform the Business</t>
  </si>
  <si>
    <t>Execute our Strategy</t>
  </si>
  <si>
    <t>Career Aspirations</t>
  </si>
  <si>
    <t>1.</t>
  </si>
  <si>
    <t>2.</t>
  </si>
  <si>
    <t>Long term (3 - 5 years )</t>
  </si>
  <si>
    <t>Deliver on financial targets and set expectations</t>
  </si>
  <si>
    <t>High</t>
  </si>
  <si>
    <t>Medium</t>
  </si>
  <si>
    <t>Low</t>
  </si>
  <si>
    <t>Key Leadership Experiences</t>
  </si>
  <si>
    <t>Required for next level role:</t>
  </si>
  <si>
    <t>Mid-term (1 -2 years)</t>
  </si>
  <si>
    <t>Name:</t>
  </si>
  <si>
    <t>Position:</t>
  </si>
  <si>
    <t>Know strengths, manages and differentiates performance proactively, actively coach/develops</t>
  </si>
  <si>
    <t>Drives results through motivation and objective focus, optimizes skill sets, demonstrates trust</t>
  </si>
  <si>
    <t>Take appropriate risk, encourage innovation, active listening and caring for others, communicating change</t>
  </si>
  <si>
    <t xml:space="preserve">                                     Readiness:</t>
  </si>
  <si>
    <t>Flight risk:</t>
  </si>
  <si>
    <t>/</t>
  </si>
  <si>
    <t>=</t>
  </si>
  <si>
    <t>Key Successor Talent Review</t>
  </si>
  <si>
    <t>Completed in current/past role:</t>
  </si>
  <si>
    <t>Development Plan
over next 5 years</t>
  </si>
  <si>
    <t>Needs development</t>
  </si>
  <si>
    <t>Highly effective</t>
  </si>
  <si>
    <t>Effective</t>
  </si>
  <si>
    <t>Short term (6 - 12 months)</t>
  </si>
  <si>
    <t>Launching a new service or product</t>
  </si>
  <si>
    <t>Merging with or acquiring another organization or business</t>
  </si>
  <si>
    <t>Closing down or divesting an organization, business, line of business or location</t>
  </si>
  <si>
    <t>Turning around an underperforming organization, business or line of business</t>
  </si>
  <si>
    <t>CP6</t>
  </si>
  <si>
    <t>CP5</t>
  </si>
  <si>
    <t>CP4</t>
  </si>
  <si>
    <t>CP level:</t>
  </si>
  <si>
    <t>(1) Next level - Successor To:</t>
  </si>
  <si>
    <t>(2) Next level - Successor To:</t>
  </si>
  <si>
    <t xml:space="preserve">Business Unit   - </t>
  </si>
  <si>
    <t>Mobility</t>
  </si>
  <si>
    <t>BRSB</t>
  </si>
  <si>
    <t>Network</t>
  </si>
  <si>
    <t>IT</t>
  </si>
  <si>
    <t>Finance</t>
  </si>
  <si>
    <t>Brand</t>
  </si>
  <si>
    <t>Vice Chair, Quebec</t>
  </si>
  <si>
    <t>Corporate Services</t>
  </si>
  <si>
    <t>Legal, Regulatory &amp; Corporate Dev.</t>
  </si>
  <si>
    <t>Years in Position:</t>
  </si>
  <si>
    <t>Identify the right opportunities  to evolve and outperform the competition</t>
  </si>
  <si>
    <t>Media</t>
  </si>
  <si>
    <t>Administrative Functions</t>
  </si>
  <si>
    <t>Edit EVI Score years</t>
  </si>
  <si>
    <t>BBM &amp; Wholesale</t>
  </si>
  <si>
    <t>The Source</t>
  </si>
  <si>
    <t>Customer Operations</t>
  </si>
  <si>
    <t>Field Services</t>
  </si>
  <si>
    <t xml:space="preserve">Name  </t>
  </si>
  <si>
    <t>CP Level</t>
  </si>
  <si>
    <t>Development Plan</t>
  </si>
  <si>
    <t>Yrs In Position</t>
  </si>
  <si>
    <t>adsdasd</t>
  </si>
  <si>
    <t>Successor 
to:</t>
  </si>
  <si>
    <t>EVI 
Score</t>
  </si>
  <si>
    <t>PMP 
Rating</t>
  </si>
  <si>
    <t>CONFIDENTIAL</t>
  </si>
  <si>
    <t xml:space="preserve">Legend </t>
  </si>
  <si>
    <t>9    Exceptional     8        Exceeds Leadership             6       Exceeds Results</t>
  </si>
  <si>
    <t>5    Meets             ST      Short Term (6-12 months)    MT   Mid-Term (1- 2 years)</t>
  </si>
  <si>
    <t>Samples of OUTPUT CELL &amp; Bottom Text</t>
  </si>
  <si>
    <t>Note:- Don't edit the below cell, output generated based on this</t>
  </si>
  <si>
    <t>&lt;enter the successor's short term plan here&gt;</t>
  </si>
  <si>
    <t>&lt;enter the successor's mid-term plan here&gt;</t>
  </si>
  <si>
    <t>&lt;enter the successor's long term plan here&gt;</t>
  </si>
  <si>
    <t>Natasha Bennett</t>
  </si>
  <si>
    <t>Judy Cabraja</t>
  </si>
  <si>
    <t>Cathy Kargl</t>
  </si>
  <si>
    <t>Judy Cabraja
Cathy Kargl</t>
  </si>
  <si>
    <r>
      <t>ST:</t>
    </r>
    <r>
      <rPr>
        <sz val="9"/>
        <color rgb="FF000000"/>
        <rFont val="Arial"/>
        <family val="2"/>
      </rPr>
      <t xml:space="preserve"> &lt;enter the successor's short term plan here&gt;</t>
    </r>
  </si>
  <si>
    <r>
      <t>MT:</t>
    </r>
    <r>
      <rPr>
        <sz val="9"/>
        <color rgb="FF000000"/>
        <rFont val="Arial"/>
        <family val="2"/>
      </rPr>
      <t xml:space="preserve"> &lt;enter the successor's mid-term plan here&gt;</t>
    </r>
  </si>
  <si>
    <t>Slide No</t>
  </si>
  <si>
    <t>Date</t>
  </si>
  <si>
    <t>Director of Human Resources</t>
  </si>
  <si>
    <t>2016 : 100
2015 : 90
2014 : N/A</t>
  </si>
  <si>
    <t>2015 : 9
2014 : 8
2013 : N/A</t>
  </si>
  <si>
    <t>RF
RF</t>
  </si>
  <si>
    <t>Adrian Puapolo</t>
  </si>
  <si>
    <t>Benard LEDUC</t>
  </si>
  <si>
    <t>Laura Desjardin</t>
  </si>
  <si>
    <t>Kirti Solanki</t>
  </si>
  <si>
    <t>Melanie Kirkpatrick</t>
  </si>
  <si>
    <t>Lisa Brown</t>
  </si>
  <si>
    <t>Adina Adronic</t>
  </si>
  <si>
    <t>Slyvie Chang</t>
  </si>
  <si>
    <t>Angel Prescott</t>
  </si>
  <si>
    <t>Jeff Allen</t>
  </si>
  <si>
    <t>Cathy Parry</t>
  </si>
  <si>
    <t>David McPhail</t>
  </si>
  <si>
    <t>director</t>
  </si>
  <si>
    <t>Mandakini Gira</t>
  </si>
  <si>
    <t>Im testing the short term plan</t>
  </si>
  <si>
    <t>I'm testing the midterm plan field</t>
  </si>
  <si>
    <t>so what</t>
  </si>
  <si>
    <t>what can i do to develop short term i need to excel in my current role and gail the expereinces needed to excel in this role</t>
  </si>
  <si>
    <t xml:space="preserve">for midterm what can i do to develop short term i need to excel in my current role and gail the expereinces needed </t>
  </si>
  <si>
    <t>key learning experiences</t>
  </si>
  <si>
    <t>create a forward thinking vision</t>
  </si>
  <si>
    <t>take emotional intelligence course</t>
  </si>
  <si>
    <t>take landmark communications course</t>
  </si>
  <si>
    <t>dreaming of a white xmas</t>
  </si>
  <si>
    <t>the succession management strategy will be a successful one</t>
  </si>
  <si>
    <t>I am amazed at what can be done in a 6 month period</t>
  </si>
  <si>
    <t>helping a team of 500 to get better acquainted with the companies culture after a merger</t>
  </si>
  <si>
    <t>Customer Operations - Key Successors</t>
  </si>
  <si>
    <t>1 | 4/20/2016   |</t>
  </si>
</sst>
</file>

<file path=xl/styles.xml><?xml version="1.0" encoding="utf-8"?>
<styleSheet xmlns="http://schemas.openxmlformats.org/spreadsheetml/2006/main">
  <numFmts count="1">
    <numFmt numFmtId="164" formatCode="[$-F800]dddd\,\ mmmm\ dd\,\ yyyy"/>
  </numFmts>
  <fonts count="28">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b/>
      <sz val="12"/>
      <color rgb="FF00448B"/>
      <name val="Calibri"/>
      <family val="2"/>
      <scheme val="minor"/>
    </font>
    <font>
      <sz val="11"/>
      <name val="Calibri"/>
      <family val="2"/>
      <scheme val="minor"/>
    </font>
    <font>
      <u/>
      <sz val="12"/>
      <color rgb="FF00448B"/>
      <name val="Calibri"/>
      <family val="2"/>
      <scheme val="minor"/>
    </font>
    <font>
      <u/>
      <sz val="11"/>
      <color rgb="FF00448B"/>
      <name val="Calibri"/>
      <family val="2"/>
      <scheme val="minor"/>
    </font>
    <font>
      <sz val="11"/>
      <color rgb="FF00448B"/>
      <name val="Calibri"/>
      <family val="2"/>
      <scheme val="minor"/>
    </font>
    <font>
      <sz val="11"/>
      <color theme="0" tint="-0.34998626667073579"/>
      <name val="Calibri"/>
      <family val="2"/>
      <scheme val="minor"/>
    </font>
    <font>
      <sz val="9"/>
      <color theme="0" tint="-0.499984740745262"/>
      <name val="Calibri"/>
      <family val="2"/>
      <scheme val="minor"/>
    </font>
    <font>
      <b/>
      <sz val="11"/>
      <name val="Calibri"/>
      <family val="2"/>
      <scheme val="minor"/>
    </font>
    <font>
      <b/>
      <sz val="11"/>
      <name val="Webdings"/>
      <family val="1"/>
      <charset val="2"/>
    </font>
    <font>
      <sz val="18"/>
      <color theme="1"/>
      <name val="Calibri"/>
      <family val="2"/>
      <scheme val="minor"/>
    </font>
    <font>
      <sz val="11"/>
      <color theme="1"/>
      <name val="Calibri"/>
      <family val="2"/>
      <scheme val="minor"/>
    </font>
    <font>
      <b/>
      <sz val="11"/>
      <color rgb="FFBFBFBF"/>
      <name val="Calibri"/>
      <family val="2"/>
      <scheme val="minor"/>
    </font>
    <font>
      <sz val="11"/>
      <color indexed="8"/>
      <name val="Calibri"/>
      <family val="2"/>
    </font>
    <font>
      <sz val="12"/>
      <color theme="1"/>
      <name val="Calibri"/>
      <family val="2"/>
      <scheme val="minor"/>
    </font>
    <font>
      <i/>
      <sz val="11"/>
      <color theme="0"/>
      <name val="Calibri"/>
      <family val="2"/>
      <scheme val="minor"/>
    </font>
    <font>
      <sz val="14"/>
      <color theme="0"/>
      <name val="Calibri"/>
      <family val="2"/>
      <scheme val="minor"/>
    </font>
    <font>
      <b/>
      <sz val="10.5"/>
      <color rgb="FF000000"/>
      <name val="Arial"/>
      <family val="2"/>
    </font>
    <font>
      <sz val="9"/>
      <color rgb="FF000000"/>
      <name val="Arial"/>
      <family val="2"/>
    </font>
    <font>
      <b/>
      <sz val="9"/>
      <color rgb="FF000000"/>
      <name val="Arial"/>
      <family val="2"/>
    </font>
    <font>
      <sz val="9"/>
      <color theme="1"/>
      <name val="Calibri"/>
      <family val="2"/>
      <scheme val="minor"/>
    </font>
    <font>
      <sz val="32"/>
      <color rgb="FF0066A4"/>
      <name val="Arial"/>
      <family val="2"/>
    </font>
    <font>
      <b/>
      <sz val="7"/>
      <color rgb="FFFFFFFF"/>
      <name val="Arial"/>
      <family val="2"/>
    </font>
    <font>
      <b/>
      <sz val="7"/>
      <color rgb="FF000000"/>
      <name val="Arial"/>
      <family val="2"/>
    </font>
  </fonts>
  <fills count="8">
    <fill>
      <patternFill patternType="none"/>
    </fill>
    <fill>
      <patternFill patternType="gray125"/>
    </fill>
    <fill>
      <patternFill patternType="solid">
        <fgColor theme="0"/>
        <bgColor indexed="64"/>
      </patternFill>
    </fill>
    <fill>
      <patternFill patternType="solid">
        <fgColor rgb="FF0066A4"/>
        <bgColor indexed="64"/>
      </patternFill>
    </fill>
    <fill>
      <patternFill patternType="solid">
        <fgColor rgb="FFE2E2E2"/>
        <bgColor indexed="64"/>
      </patternFill>
    </fill>
    <fill>
      <patternFill patternType="solid">
        <fgColor theme="0" tint="-0.249977111117893"/>
        <bgColor indexed="64"/>
      </patternFill>
    </fill>
    <fill>
      <patternFill patternType="solid">
        <fgColor theme="1"/>
        <bgColor indexed="64"/>
      </patternFill>
    </fill>
    <fill>
      <patternFill patternType="solid">
        <fgColor rgb="FFE7EAF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rgb="FF0066A4"/>
      </top>
      <bottom/>
      <diagonal/>
    </border>
    <border>
      <left/>
      <right/>
      <top/>
      <bottom style="dotted">
        <color rgb="FF0066A4"/>
      </bottom>
      <diagonal/>
    </border>
    <border>
      <left/>
      <right style="thin">
        <color indexed="64"/>
      </right>
      <top style="thin">
        <color indexed="64"/>
      </top>
      <bottom style="thin">
        <color indexed="64"/>
      </bottom>
      <diagonal/>
    </border>
    <border>
      <left/>
      <right style="thin">
        <color theme="0"/>
      </right>
      <top/>
      <bottom/>
      <diagonal/>
    </border>
    <border>
      <left/>
      <right/>
      <top/>
      <bottom style="thin">
        <color rgb="FF0066A4"/>
      </bottom>
      <diagonal/>
    </border>
    <border>
      <left style="thin">
        <color theme="0" tint="-4.9989318521683403E-2"/>
      </left>
      <right/>
      <top/>
      <bottom/>
      <diagonal/>
    </border>
    <border>
      <left style="thin">
        <color indexed="64"/>
      </left>
      <right/>
      <top style="thin">
        <color indexed="64"/>
      </top>
      <bottom style="thin">
        <color indexed="64"/>
      </bottom>
      <diagonal/>
    </border>
    <border>
      <left/>
      <right style="dashed">
        <color rgb="FF0066A4"/>
      </right>
      <top/>
      <bottom/>
      <diagonal/>
    </border>
    <border>
      <left style="dashed">
        <color rgb="FF0066A4"/>
      </left>
      <right/>
      <top/>
      <bottom/>
      <diagonal/>
    </border>
    <border>
      <left/>
      <right/>
      <top style="double">
        <color rgb="FF0066A4"/>
      </top>
      <bottom/>
      <diagonal/>
    </border>
    <border>
      <left/>
      <right/>
      <top/>
      <bottom style="double">
        <color rgb="FF0066A4"/>
      </bottom>
      <diagonal/>
    </border>
    <border>
      <left/>
      <right style="thin">
        <color rgb="FF0066A4"/>
      </right>
      <top/>
      <bottom style="thin">
        <color rgb="FF0066A4"/>
      </bottom>
      <diagonal/>
    </border>
    <border>
      <left/>
      <right style="thin">
        <color rgb="FF0066A4"/>
      </right>
      <top/>
      <bottom/>
      <diagonal/>
    </border>
    <border>
      <left/>
      <right style="thin">
        <color rgb="FF0066A4"/>
      </right>
      <top style="double">
        <color rgb="FF0066A4"/>
      </top>
      <bottom/>
      <diagonal/>
    </border>
    <border>
      <left style="dashed">
        <color rgb="FF0066A4"/>
      </left>
      <right/>
      <top/>
      <bottom style="double">
        <color rgb="FF0066A4"/>
      </bottom>
      <diagonal/>
    </border>
    <border>
      <left/>
      <right style="thin">
        <color rgb="FF0066A4"/>
      </right>
      <top/>
      <bottom style="double">
        <color rgb="FF0066A4"/>
      </bottom>
      <diagonal/>
    </border>
    <border>
      <left/>
      <right style="thin">
        <color rgb="FF0066A4"/>
      </right>
      <top style="double">
        <color theme="1"/>
      </top>
      <bottom/>
      <diagonal/>
    </border>
    <border>
      <left/>
      <right/>
      <top style="double">
        <color theme="1"/>
      </top>
      <bottom/>
      <diagonal/>
    </border>
    <border>
      <left/>
      <right style="thin">
        <color theme="0"/>
      </right>
      <top style="double">
        <color theme="1"/>
      </top>
      <bottom/>
      <diagonal/>
    </border>
    <border>
      <left style="thin">
        <color rgb="FF0066A4"/>
      </left>
      <right/>
      <top style="double">
        <color rgb="FF0066A4"/>
      </top>
      <bottom/>
      <diagonal/>
    </border>
    <border>
      <left style="thin">
        <color rgb="FF0066A4"/>
      </left>
      <right/>
      <top/>
      <bottom/>
      <diagonal/>
    </border>
    <border>
      <left style="thin">
        <color rgb="FF0066A4"/>
      </left>
      <right/>
      <top/>
      <bottom style="thin">
        <color rgb="FF0066A4"/>
      </bottom>
      <diagonal/>
    </border>
    <border>
      <left style="thin">
        <color rgb="FF0066A4"/>
      </left>
      <right/>
      <top/>
      <bottom style="double">
        <color rgb="FF0066A4"/>
      </bottom>
      <diagonal/>
    </border>
    <border>
      <left/>
      <right style="thin">
        <color theme="1"/>
      </right>
      <top style="double">
        <color theme="1"/>
      </top>
      <bottom/>
      <diagonal/>
    </border>
    <border>
      <left/>
      <right style="thin">
        <color theme="1"/>
      </right>
      <top/>
      <bottom/>
      <diagonal/>
    </border>
    <border>
      <left/>
      <right style="thin">
        <color theme="1"/>
      </right>
      <top/>
      <bottom style="double">
        <color rgb="FF0066A4"/>
      </bottom>
      <diagonal/>
    </border>
    <border>
      <left style="thin">
        <color indexed="64"/>
      </left>
      <right/>
      <top/>
      <bottom/>
      <diagonal/>
    </border>
    <border>
      <left/>
      <right/>
      <top/>
      <bottom style="thick">
        <color rgb="FF0066A4"/>
      </bottom>
      <diagonal/>
    </border>
    <border>
      <left style="medium">
        <color rgb="FF0066A4"/>
      </left>
      <right/>
      <top style="medium">
        <color rgb="FF0066A4"/>
      </top>
      <bottom/>
      <diagonal/>
    </border>
    <border>
      <left style="medium">
        <color rgb="FF0066A4"/>
      </left>
      <right/>
      <top/>
      <bottom style="medium">
        <color rgb="FF0066A4"/>
      </bottom>
      <diagonal/>
    </border>
    <border>
      <left/>
      <right/>
      <top style="medium">
        <color rgb="FF0066A4"/>
      </top>
      <bottom/>
      <diagonal/>
    </border>
    <border>
      <left/>
      <right/>
      <top style="thick">
        <color rgb="FF0066A4"/>
      </top>
      <bottom/>
      <diagonal/>
    </border>
    <border>
      <left/>
      <right/>
      <top/>
      <bottom style="thin">
        <color indexed="64"/>
      </bottom>
      <diagonal/>
    </border>
  </borders>
  <cellStyleXfs count="3">
    <xf numFmtId="0" fontId="0" fillId="0" borderId="0"/>
    <xf numFmtId="9" fontId="15" fillId="0" borderId="0" applyFont="0" applyFill="0" applyBorder="0" applyAlignment="0" applyProtection="0"/>
    <xf numFmtId="0" fontId="17" fillId="0" borderId="0"/>
  </cellStyleXfs>
  <cellXfs count="244">
    <xf numFmtId="0" fontId="0" fillId="0" borderId="0" xfId="0"/>
    <xf numFmtId="0" fontId="0" fillId="2" borderId="0" xfId="0" applyFill="1"/>
    <xf numFmtId="0" fontId="0" fillId="2" borderId="2" xfId="0" applyFill="1" applyBorder="1"/>
    <xf numFmtId="0" fontId="0" fillId="2" borderId="0" xfId="0" applyFill="1" applyBorder="1"/>
    <xf numFmtId="0" fontId="2" fillId="2" borderId="0" xfId="0" applyFont="1" applyFill="1"/>
    <xf numFmtId="0" fontId="4" fillId="2" borderId="0" xfId="0" applyFont="1" applyFill="1" applyAlignment="1">
      <alignment horizontal="center"/>
    </xf>
    <xf numFmtId="0" fontId="3" fillId="3" borderId="0" xfId="0" applyFont="1" applyFill="1"/>
    <xf numFmtId="0" fontId="5" fillId="2" borderId="0" xfId="0" applyFont="1" applyFill="1" applyAlignment="1">
      <alignment horizontal="center"/>
    </xf>
    <xf numFmtId="0" fontId="0" fillId="2" borderId="7" xfId="0" applyFill="1" applyBorder="1"/>
    <xf numFmtId="0" fontId="0" fillId="2" borderId="2" xfId="0" applyFill="1" applyBorder="1" applyAlignment="1">
      <alignment horizontal="center"/>
    </xf>
    <xf numFmtId="0" fontId="2" fillId="2" borderId="0" xfId="0" applyFont="1" applyFill="1" applyBorder="1" applyAlignment="1">
      <alignment horizontal="center"/>
    </xf>
    <xf numFmtId="0" fontId="0" fillId="2" borderId="0" xfId="0" applyFill="1" applyBorder="1" applyAlignment="1">
      <alignment horizontal="left" wrapText="1"/>
    </xf>
    <xf numFmtId="0" fontId="0" fillId="4" borderId="0" xfId="0" applyFill="1" applyAlignment="1">
      <alignment horizontal="center" vertical="center"/>
    </xf>
    <xf numFmtId="0" fontId="0" fillId="4" borderId="7" xfId="0" applyFill="1" applyBorder="1" applyAlignment="1">
      <alignment horizontal="center" vertical="center"/>
    </xf>
    <xf numFmtId="0" fontId="7" fillId="2" borderId="0" xfId="0" applyFont="1" applyFill="1" applyAlignment="1">
      <alignment horizontal="left"/>
    </xf>
    <xf numFmtId="0" fontId="8" fillId="2" borderId="0" xfId="0" applyFont="1" applyFill="1"/>
    <xf numFmtId="0" fontId="0" fillId="2" borderId="0" xfId="0" applyFill="1" applyAlignment="1"/>
    <xf numFmtId="0" fontId="0" fillId="3" borderId="0" xfId="0" applyFill="1" applyAlignment="1">
      <alignment horizontal="left" vertical="top" wrapText="1"/>
    </xf>
    <xf numFmtId="0" fontId="0" fillId="3" borderId="0" xfId="0" applyFill="1" applyAlignment="1">
      <alignment horizontal="center" vertical="center"/>
    </xf>
    <xf numFmtId="0" fontId="0" fillId="3" borderId="0" xfId="0" applyFill="1"/>
    <xf numFmtId="0" fontId="3" fillId="3" borderId="0" xfId="0" applyFont="1" applyFill="1" applyAlignment="1">
      <alignment horizontal="left" vertical="top" wrapText="1"/>
    </xf>
    <xf numFmtId="0" fontId="9" fillId="2" borderId="0" xfId="0" applyFont="1" applyFill="1"/>
    <xf numFmtId="0" fontId="0" fillId="4" borderId="0" xfId="0" applyFill="1"/>
    <xf numFmtId="0" fontId="0" fillId="4" borderId="7" xfId="0" applyFill="1" applyBorder="1"/>
    <xf numFmtId="0" fontId="4" fillId="2" borderId="0" xfId="0" applyFont="1" applyFill="1"/>
    <xf numFmtId="0" fontId="14" fillId="2" borderId="0" xfId="0" applyFont="1" applyFill="1"/>
    <xf numFmtId="0" fontId="3" fillId="3" borderId="0" xfId="0" applyFont="1" applyFill="1" applyAlignment="1">
      <alignment vertical="center"/>
    </xf>
    <xf numFmtId="0" fontId="3" fillId="3" borderId="0" xfId="0" applyFont="1" applyFill="1" applyAlignment="1">
      <alignment vertical="top" wrapText="1"/>
    </xf>
    <xf numFmtId="0" fontId="3" fillId="3" borderId="0" xfId="0" applyFont="1" applyFill="1" applyAlignment="1">
      <alignment horizontal="left"/>
    </xf>
    <xf numFmtId="1" fontId="0" fillId="2" borderId="2" xfId="0" applyNumberFormat="1" applyFill="1" applyBorder="1" applyAlignment="1" applyProtection="1">
      <alignment horizontal="center"/>
      <protection locked="0"/>
    </xf>
    <xf numFmtId="0" fontId="2" fillId="5" borderId="0" xfId="0" applyFont="1" applyFill="1" applyBorder="1" applyAlignment="1">
      <alignment wrapText="1"/>
    </xf>
    <xf numFmtId="0" fontId="0" fillId="2" borderId="0" xfId="0" applyFill="1" applyBorder="1" applyAlignment="1">
      <alignment horizontal="center"/>
    </xf>
    <xf numFmtId="0" fontId="0" fillId="2" borderId="13" xfId="0" applyFill="1" applyBorder="1" applyAlignment="1">
      <alignment horizontal="left"/>
    </xf>
    <xf numFmtId="0" fontId="2" fillId="5" borderId="0" xfId="0" applyFont="1" applyFill="1" applyBorder="1" applyAlignment="1" applyProtection="1">
      <alignment wrapText="1"/>
      <protection hidden="1"/>
    </xf>
    <xf numFmtId="0" fontId="4" fillId="3" borderId="18" xfId="0" applyFont="1" applyFill="1" applyBorder="1" applyAlignment="1" applyProtection="1">
      <alignment horizontal="center" vertical="center"/>
      <protection locked="0"/>
    </xf>
    <xf numFmtId="0" fontId="7" fillId="2" borderId="0" xfId="0" applyFont="1" applyFill="1" applyBorder="1" applyAlignment="1">
      <alignment horizontal="left"/>
    </xf>
    <xf numFmtId="0" fontId="2" fillId="2" borderId="0" xfId="0" applyFont="1" applyFill="1" applyBorder="1"/>
    <xf numFmtId="0" fontId="13" fillId="2" borderId="0" xfId="0" applyFont="1" applyFill="1" applyBorder="1" applyAlignment="1">
      <alignment horizontal="center"/>
    </xf>
    <xf numFmtId="0" fontId="8" fillId="2" borderId="0" xfId="0" applyFont="1" applyFill="1" applyBorder="1"/>
    <xf numFmtId="0" fontId="0" fillId="2" borderId="20" xfId="0" applyFill="1" applyBorder="1"/>
    <xf numFmtId="0" fontId="0" fillId="2" borderId="0" xfId="0" applyFill="1" applyAlignment="1">
      <alignment horizontal="center"/>
    </xf>
    <xf numFmtId="0" fontId="4" fillId="2" borderId="0" xfId="0" applyFont="1" applyFill="1" applyBorder="1" applyAlignment="1" applyProtection="1">
      <alignment horizontal="center"/>
      <protection locked="0"/>
    </xf>
    <xf numFmtId="0" fontId="4" fillId="3" borderId="15" xfId="0" applyFont="1" applyFill="1" applyBorder="1" applyAlignment="1" applyProtection="1">
      <alignment horizontal="center" vertical="center"/>
      <protection locked="0"/>
    </xf>
    <xf numFmtId="0" fontId="2" fillId="5" borderId="0" xfId="0" applyFont="1" applyFill="1" applyBorder="1" applyAlignment="1">
      <alignment horizontal="left" wrapText="1"/>
    </xf>
    <xf numFmtId="0" fontId="2" fillId="5" borderId="11" xfId="0" applyFont="1" applyFill="1" applyBorder="1" applyAlignment="1">
      <alignment horizontal="left" wrapText="1"/>
    </xf>
    <xf numFmtId="0" fontId="2" fillId="5" borderId="12" xfId="0" applyFont="1" applyFill="1" applyBorder="1" applyAlignment="1">
      <alignment wrapText="1"/>
    </xf>
    <xf numFmtId="0" fontId="1" fillId="3" borderId="20" xfId="0" applyFont="1" applyFill="1" applyBorder="1" applyAlignment="1"/>
    <xf numFmtId="0" fontId="1" fillId="3" borderId="19" xfId="0" applyFont="1" applyFill="1" applyBorder="1" applyAlignment="1"/>
    <xf numFmtId="0" fontId="4" fillId="3" borderId="15" xfId="0" applyFont="1" applyFill="1" applyBorder="1" applyAlignment="1" applyProtection="1">
      <alignment vertical="center"/>
      <protection locked="0"/>
    </xf>
    <xf numFmtId="9" fontId="2" fillId="5" borderId="0" xfId="1" applyFont="1" applyFill="1" applyBorder="1" applyAlignment="1">
      <alignment horizontal="center" wrapText="1"/>
    </xf>
    <xf numFmtId="0" fontId="4" fillId="3" borderId="0" xfId="0" applyFont="1" applyFill="1" applyBorder="1" applyAlignment="1" applyProtection="1">
      <alignment horizontal="center" vertical="center"/>
      <protection locked="0"/>
    </xf>
    <xf numFmtId="0" fontId="4" fillId="3" borderId="13" xfId="0" applyFont="1" applyFill="1" applyBorder="1" applyAlignment="1" applyProtection="1">
      <alignment horizontal="center" vertical="center"/>
      <protection locked="0"/>
    </xf>
    <xf numFmtId="0" fontId="16" fillId="5" borderId="0" xfId="0" applyFont="1" applyFill="1" applyBorder="1" applyAlignment="1" applyProtection="1">
      <alignment wrapText="1"/>
      <protection hidden="1"/>
    </xf>
    <xf numFmtId="0" fontId="16" fillId="5" borderId="0" xfId="0" applyFont="1" applyFill="1" applyBorder="1" applyAlignment="1">
      <alignment wrapText="1"/>
    </xf>
    <xf numFmtId="0" fontId="16" fillId="5" borderId="15" xfId="0" applyFont="1" applyFill="1" applyBorder="1" applyAlignment="1">
      <alignment wrapText="1"/>
    </xf>
    <xf numFmtId="0" fontId="0" fillId="2" borderId="18" xfId="0" applyFill="1" applyBorder="1" applyAlignment="1">
      <alignment horizontal="left"/>
    </xf>
    <xf numFmtId="0" fontId="16" fillId="5" borderId="10" xfId="0" applyFont="1" applyFill="1" applyBorder="1" applyAlignment="1">
      <alignment horizontal="left" wrapText="1"/>
    </xf>
    <xf numFmtId="0" fontId="2" fillId="5" borderId="10" xfId="0" applyFont="1" applyFill="1" applyBorder="1" applyAlignment="1">
      <alignment horizontal="left" wrapText="1"/>
    </xf>
    <xf numFmtId="0" fontId="1" fillId="3" borderId="26" xfId="0" applyFont="1" applyFill="1" applyBorder="1" applyAlignment="1"/>
    <xf numFmtId="0" fontId="0" fillId="2" borderId="28" xfId="0" applyFill="1" applyBorder="1" applyAlignment="1">
      <alignment horizontal="left"/>
    </xf>
    <xf numFmtId="0" fontId="2" fillId="5" borderId="27" xfId="0" applyFont="1" applyFill="1" applyBorder="1" applyAlignment="1">
      <alignment horizontal="left" wrapText="1"/>
    </xf>
    <xf numFmtId="0" fontId="2" fillId="5" borderId="15" xfId="0" applyFont="1" applyFill="1" applyBorder="1" applyAlignment="1">
      <alignment horizontal="left" wrapText="1"/>
    </xf>
    <xf numFmtId="0" fontId="0" fillId="2" borderId="0" xfId="0" applyFill="1" applyProtection="1">
      <protection locked="0"/>
    </xf>
    <xf numFmtId="0" fontId="1" fillId="3" borderId="0" xfId="0" applyFont="1" applyFill="1" applyBorder="1" applyAlignment="1" applyProtection="1">
      <protection locked="0"/>
    </xf>
    <xf numFmtId="0" fontId="2" fillId="5" borderId="0" xfId="0" applyFont="1" applyFill="1" applyBorder="1" applyAlignment="1" applyProtection="1">
      <alignment horizontal="left" wrapText="1"/>
      <protection locked="0"/>
    </xf>
    <xf numFmtId="0" fontId="3" fillId="2" borderId="0" xfId="0" applyFont="1" applyFill="1" applyBorder="1" applyAlignment="1" applyProtection="1">
      <alignment wrapText="1"/>
      <protection locked="0"/>
    </xf>
    <xf numFmtId="0" fontId="3" fillId="2" borderId="0" xfId="0" applyFont="1" applyFill="1" applyBorder="1" applyAlignment="1" applyProtection="1">
      <alignment horizontal="center" vertical="center" wrapText="1"/>
      <protection locked="0"/>
    </xf>
    <xf numFmtId="0" fontId="3" fillId="2" borderId="13" xfId="0" applyFont="1" applyFill="1" applyBorder="1" applyAlignment="1" applyProtection="1">
      <alignment vertical="top"/>
      <protection locked="0"/>
    </xf>
    <xf numFmtId="0" fontId="2" fillId="5" borderId="22" xfId="0" applyFont="1" applyFill="1" applyBorder="1" applyAlignment="1" applyProtection="1">
      <alignment wrapText="1"/>
      <protection locked="0"/>
    </xf>
    <xf numFmtId="0" fontId="0" fillId="2" borderId="0" xfId="0" applyFill="1" applyBorder="1" applyProtection="1">
      <protection locked="0"/>
    </xf>
    <xf numFmtId="0" fontId="1" fillId="3" borderId="20" xfId="0" applyFont="1" applyFill="1" applyBorder="1" applyAlignment="1" applyProtection="1">
      <protection locked="0"/>
    </xf>
    <xf numFmtId="0" fontId="2" fillId="5" borderId="12" xfId="0" applyFont="1" applyFill="1" applyBorder="1" applyAlignment="1" applyProtection="1">
      <alignment wrapText="1"/>
      <protection locked="0"/>
    </xf>
    <xf numFmtId="0" fontId="3" fillId="2" borderId="0" xfId="0" applyFont="1" applyFill="1" applyBorder="1" applyAlignment="1" applyProtection="1">
      <alignment vertical="center" wrapText="1"/>
      <protection locked="0"/>
    </xf>
    <xf numFmtId="0" fontId="3" fillId="2" borderId="11" xfId="0" applyFont="1" applyFill="1" applyBorder="1" applyAlignment="1" applyProtection="1">
      <alignment horizontal="center" wrapText="1"/>
      <protection locked="0"/>
    </xf>
    <xf numFmtId="0" fontId="3" fillId="2" borderId="17" xfId="0" applyFont="1" applyFill="1" applyBorder="1" applyAlignment="1" applyProtection="1">
      <alignment horizontal="center" vertical="top"/>
      <protection locked="0"/>
    </xf>
    <xf numFmtId="0" fontId="3" fillId="2" borderId="0" xfId="0" applyFont="1" applyFill="1" applyBorder="1" applyAlignment="1" applyProtection="1">
      <alignment horizontal="center" wrapText="1"/>
      <protection locked="0"/>
    </xf>
    <xf numFmtId="0" fontId="3" fillId="2" borderId="0" xfId="0" applyFont="1" applyFill="1" applyBorder="1" applyAlignment="1" applyProtection="1">
      <alignment horizontal="center" vertical="top"/>
      <protection locked="0"/>
    </xf>
    <xf numFmtId="0" fontId="0" fillId="2" borderId="0" xfId="0" applyFill="1" applyAlignment="1">
      <alignment horizontal="center"/>
    </xf>
    <xf numFmtId="0" fontId="3"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protection locked="0"/>
    </xf>
    <xf numFmtId="0" fontId="0" fillId="2" borderId="2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24" xfId="0" applyFill="1" applyBorder="1" applyAlignment="1" applyProtection="1">
      <alignment wrapText="1"/>
      <protection locked="0"/>
    </xf>
    <xf numFmtId="0" fontId="0" fillId="2" borderId="7" xfId="0" applyFill="1" applyBorder="1" applyAlignment="1" applyProtection="1">
      <alignment wrapText="1"/>
      <protection locked="0"/>
    </xf>
    <xf numFmtId="0" fontId="18" fillId="2" borderId="0" xfId="0" applyFont="1" applyFill="1" applyAlignment="1">
      <alignment horizontal="right"/>
    </xf>
    <xf numFmtId="0" fontId="3" fillId="6" borderId="0" xfId="0" applyFont="1" applyFill="1" applyAlignment="1">
      <alignment horizontal="right"/>
    </xf>
    <xf numFmtId="0" fontId="11" fillId="2" borderId="0" xfId="0" applyFont="1" applyFill="1" applyBorder="1" applyAlignment="1">
      <alignment vertical="top" wrapText="1"/>
    </xf>
    <xf numFmtId="0" fontId="0" fillId="2" borderId="0" xfId="0" applyFill="1" applyAlignment="1">
      <alignment horizontal="center"/>
    </xf>
    <xf numFmtId="0" fontId="4" fillId="2" borderId="0" xfId="0" applyFont="1"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23" xfId="0" applyFill="1" applyBorder="1" applyAlignment="1" applyProtection="1">
      <alignment vertical="top" wrapText="1"/>
      <protection locked="0"/>
    </xf>
    <xf numFmtId="0" fontId="0" fillId="2" borderId="0" xfId="0" applyFill="1" applyBorder="1" applyAlignment="1" applyProtection="1">
      <alignment vertical="top" wrapText="1"/>
      <protection locked="0"/>
    </xf>
    <xf numFmtId="0" fontId="0" fillId="2" borderId="24" xfId="0" applyFill="1" applyBorder="1" applyAlignment="1" applyProtection="1">
      <alignment vertical="top" wrapText="1"/>
      <protection locked="0"/>
    </xf>
    <xf numFmtId="0" fontId="0" fillId="2" borderId="7" xfId="0" applyFill="1" applyBorder="1" applyAlignment="1" applyProtection="1">
      <alignment vertical="top" wrapText="1"/>
      <protection locked="0"/>
    </xf>
    <xf numFmtId="0" fontId="2" fillId="5" borderId="0" xfId="0" applyFont="1" applyFill="1" applyBorder="1" applyAlignment="1">
      <alignment horizontal="left" wrapText="1"/>
    </xf>
    <xf numFmtId="0" fontId="4" fillId="2" borderId="0" xfId="0" applyFont="1" applyFill="1" applyBorder="1" applyAlignment="1" applyProtection="1">
      <alignment horizontal="center"/>
      <protection locked="0"/>
    </xf>
    <xf numFmtId="0" fontId="4" fillId="3" borderId="0" xfId="0" applyFont="1" applyFill="1" applyBorder="1" applyAlignment="1" applyProtection="1">
      <alignment horizontal="center" vertical="center"/>
      <protection locked="0"/>
    </xf>
    <xf numFmtId="0" fontId="0" fillId="2" borderId="2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24" xfId="0" applyFill="1" applyBorder="1" applyAlignment="1" applyProtection="1">
      <alignment wrapText="1"/>
      <protection locked="0"/>
    </xf>
    <xf numFmtId="0" fontId="0" fillId="2" borderId="7" xfId="0" applyFill="1" applyBorder="1" applyAlignment="1" applyProtection="1">
      <alignment wrapText="1"/>
      <protection locked="0"/>
    </xf>
    <xf numFmtId="0" fontId="0" fillId="2" borderId="29" xfId="0" applyFill="1" applyBorder="1" applyAlignment="1">
      <alignment horizontal="center"/>
    </xf>
    <xf numFmtId="1" fontId="0" fillId="2" borderId="29" xfId="0" applyNumberFormat="1" applyFill="1" applyBorder="1" applyAlignment="1" applyProtection="1">
      <alignment horizontal="center"/>
      <protection locked="0"/>
    </xf>
    <xf numFmtId="0" fontId="0" fillId="2" borderId="29" xfId="0" applyFill="1" applyBorder="1" applyAlignment="1" applyProtection="1">
      <alignment horizontal="center"/>
      <protection locked="0"/>
    </xf>
    <xf numFmtId="0" fontId="12" fillId="2" borderId="0" xfId="0" applyFont="1" applyFill="1" applyAlignment="1">
      <alignment horizontal="center"/>
    </xf>
    <xf numFmtId="0" fontId="12" fillId="2" borderId="0" xfId="0" applyFont="1" applyFill="1" applyBorder="1" applyAlignment="1">
      <alignment horizontal="center"/>
    </xf>
    <xf numFmtId="1" fontId="6" fillId="2" borderId="2" xfId="0" applyNumberFormat="1" applyFont="1" applyFill="1" applyBorder="1" applyAlignment="1" applyProtection="1">
      <alignment horizontal="center"/>
      <protection locked="0"/>
    </xf>
    <xf numFmtId="1" fontId="6" fillId="2" borderId="29" xfId="0" applyNumberFormat="1" applyFont="1" applyFill="1" applyBorder="1" applyAlignment="1" applyProtection="1">
      <alignment horizontal="center"/>
      <protection locked="0"/>
    </xf>
    <xf numFmtId="0" fontId="0" fillId="2" borderId="0" xfId="0" applyFill="1" applyAlignment="1">
      <alignment horizontal="center"/>
    </xf>
    <xf numFmtId="0" fontId="20" fillId="0" borderId="0" xfId="0" applyFont="1" applyFill="1"/>
    <xf numFmtId="0" fontId="0" fillId="0" borderId="0" xfId="0" applyFill="1"/>
    <xf numFmtId="0" fontId="3" fillId="0" borderId="0" xfId="0" applyFont="1" applyFill="1"/>
    <xf numFmtId="0" fontId="0" fillId="0" borderId="0" xfId="0" applyFont="1" applyFill="1"/>
    <xf numFmtId="0" fontId="2" fillId="5" borderId="0" xfId="0" applyFont="1" applyFill="1" applyBorder="1" applyAlignment="1" applyProtection="1">
      <alignment wrapText="1"/>
      <protection locked="0"/>
    </xf>
    <xf numFmtId="0" fontId="24" fillId="2" borderId="0" xfId="0" applyFont="1" applyFill="1"/>
    <xf numFmtId="0" fontId="24" fillId="2" borderId="0" xfId="0" applyFont="1" applyFill="1" applyAlignment="1">
      <alignment horizontal="left"/>
    </xf>
    <xf numFmtId="15" fontId="24" fillId="2" borderId="0" xfId="0" applyNumberFormat="1" applyFont="1" applyFill="1" applyAlignment="1">
      <alignment horizontal="center"/>
    </xf>
    <xf numFmtId="0" fontId="2" fillId="0" borderId="0" xfId="0" applyFont="1" applyFill="1" applyAlignment="1"/>
    <xf numFmtId="0" fontId="2" fillId="0" borderId="0" xfId="0" applyFont="1" applyFill="1"/>
    <xf numFmtId="0" fontId="0" fillId="2" borderId="23" xfId="0" applyFill="1" applyBorder="1" applyAlignment="1" applyProtection="1">
      <alignment vertical="top" wrapText="1"/>
      <protection locked="0"/>
    </xf>
    <xf numFmtId="0" fontId="0" fillId="2" borderId="24" xfId="0" applyFill="1" applyBorder="1" applyAlignment="1" applyProtection="1">
      <alignment vertical="top" wrapText="1"/>
      <protection locked="0"/>
    </xf>
    <xf numFmtId="0" fontId="0" fillId="0" borderId="0" xfId="0" applyFill="1" applyAlignment="1">
      <alignment horizontal="center"/>
    </xf>
    <xf numFmtId="14" fontId="0" fillId="0" borderId="0" xfId="0" applyNumberFormat="1" applyFill="1"/>
    <xf numFmtId="0" fontId="0" fillId="4" borderId="35" xfId="0" applyFill="1" applyBorder="1"/>
    <xf numFmtId="0" fontId="0" fillId="2" borderId="0" xfId="0" applyFill="1" applyAlignment="1">
      <alignment horizontal="left" wrapText="1"/>
    </xf>
    <xf numFmtId="0" fontId="3" fillId="3" borderId="8" xfId="0" applyFont="1" applyFill="1" applyBorder="1" applyAlignment="1">
      <alignment horizontal="center" wrapText="1"/>
    </xf>
    <xf numFmtId="0" fontId="3" fillId="3" borderId="0" xfId="0" applyFont="1" applyFill="1" applyBorder="1" applyAlignment="1">
      <alignment horizontal="center" wrapText="1"/>
    </xf>
    <xf numFmtId="0" fontId="0" fillId="2" borderId="0" xfId="0" applyFill="1" applyAlignment="1">
      <alignment horizontal="left" vertical="top" wrapText="1"/>
    </xf>
    <xf numFmtId="0" fontId="0" fillId="2" borderId="7" xfId="0" applyFill="1" applyBorder="1" applyAlignment="1">
      <alignment horizontal="left" vertical="top" wrapText="1"/>
    </xf>
    <xf numFmtId="0" fontId="0" fillId="2" borderId="0" xfId="0" applyFill="1" applyBorder="1" applyAlignment="1">
      <alignment horizontal="left" wrapText="1"/>
    </xf>
    <xf numFmtId="0" fontId="0" fillId="2" borderId="3" xfId="0" applyFill="1" applyBorder="1" applyAlignment="1">
      <alignment horizontal="left"/>
    </xf>
    <xf numFmtId="0" fontId="3" fillId="3" borderId="0" xfId="0" applyFont="1" applyFill="1" applyAlignment="1">
      <alignment horizontal="center"/>
    </xf>
    <xf numFmtId="0" fontId="0" fillId="2" borderId="4" xfId="0" applyFill="1" applyBorder="1" applyAlignment="1">
      <alignment horizontal="center"/>
    </xf>
    <xf numFmtId="0" fontId="0" fillId="4" borderId="0" xfId="0" applyFill="1" applyAlignment="1">
      <alignment horizontal="center" vertical="center"/>
    </xf>
    <xf numFmtId="0" fontId="0" fillId="4" borderId="7" xfId="0" applyFill="1" applyBorder="1" applyAlignment="1">
      <alignment horizontal="center" vertical="center"/>
    </xf>
    <xf numFmtId="0" fontId="6" fillId="4" borderId="0" xfId="0" applyFont="1" applyFill="1" applyBorder="1" applyAlignment="1">
      <alignment horizontal="left"/>
    </xf>
    <xf numFmtId="0" fontId="0" fillId="2" borderId="0" xfId="0" applyFill="1" applyBorder="1" applyAlignment="1">
      <alignment horizontal="left"/>
    </xf>
    <xf numFmtId="0" fontId="1" fillId="3" borderId="0" xfId="0" applyFont="1" applyFill="1" applyBorder="1" applyAlignment="1">
      <alignment horizontal="center"/>
    </xf>
    <xf numFmtId="0" fontId="1" fillId="3" borderId="6" xfId="0" applyFont="1" applyFill="1" applyBorder="1" applyAlignment="1">
      <alignment horizontal="center"/>
    </xf>
    <xf numFmtId="0" fontId="3" fillId="3" borderId="0" xfId="0" applyFont="1" applyFill="1" applyBorder="1" applyAlignment="1">
      <alignment horizontal="center"/>
    </xf>
    <xf numFmtId="0" fontId="0" fillId="2" borderId="7" xfId="0" applyFill="1" applyBorder="1" applyAlignment="1">
      <alignment horizontal="left" wrapText="1"/>
    </xf>
    <xf numFmtId="0" fontId="0" fillId="2" borderId="0" xfId="0" applyFill="1" applyAlignment="1">
      <alignment horizontal="center"/>
    </xf>
    <xf numFmtId="0" fontId="0" fillId="2" borderId="0" xfId="0" applyFill="1" applyAlignment="1">
      <alignment vertical="top" wrapText="1"/>
    </xf>
    <xf numFmtId="0" fontId="3" fillId="3" borderId="5" xfId="0" applyFont="1" applyFill="1" applyBorder="1" applyAlignment="1">
      <alignment horizontal="center"/>
    </xf>
    <xf numFmtId="0" fontId="3" fillId="3" borderId="1" xfId="0" applyFont="1" applyFill="1" applyBorder="1" applyAlignment="1">
      <alignment horizontal="center"/>
    </xf>
    <xf numFmtId="0" fontId="3" fillId="3" borderId="9" xfId="0" applyFont="1" applyFill="1" applyBorder="1" applyAlignment="1">
      <alignment horizontal="center"/>
    </xf>
    <xf numFmtId="0" fontId="0" fillId="2" borderId="0" xfId="0" applyFill="1" applyAlignment="1">
      <alignment horizontal="left" vertical="center" wrapText="1"/>
    </xf>
    <xf numFmtId="0" fontId="0" fillId="4" borderId="0" xfId="0" applyFill="1" applyAlignment="1">
      <alignment vertical="top" wrapText="1"/>
    </xf>
    <xf numFmtId="0" fontId="0" fillId="4" borderId="0" xfId="0" applyFill="1" applyAlignment="1">
      <alignment horizontal="left" wrapText="1"/>
    </xf>
    <xf numFmtId="0" fontId="11" fillId="2" borderId="0" xfId="0" applyFont="1" applyFill="1" applyBorder="1" applyAlignment="1">
      <alignment horizontal="left" vertical="center" wrapText="1"/>
    </xf>
    <xf numFmtId="0" fontId="6" fillId="2" borderId="0" xfId="0" applyFont="1" applyFill="1" applyBorder="1" applyAlignment="1" applyProtection="1">
      <alignment horizontal="center" vertical="center"/>
      <protection locked="0"/>
    </xf>
    <xf numFmtId="0" fontId="2" fillId="5" borderId="22" xfId="0" applyFont="1" applyFill="1" applyBorder="1" applyAlignment="1">
      <alignment horizontal="center" wrapText="1"/>
    </xf>
    <xf numFmtId="0" fontId="2" fillId="5" borderId="12" xfId="0" applyFont="1" applyFill="1" applyBorder="1" applyAlignment="1">
      <alignment horizontal="center" wrapText="1"/>
    </xf>
    <xf numFmtId="0" fontId="2" fillId="5" borderId="16" xfId="0" applyFont="1" applyFill="1" applyBorder="1" applyAlignment="1">
      <alignment horizontal="center" wrapText="1"/>
    </xf>
    <xf numFmtId="0" fontId="0" fillId="2" borderId="23" xfId="0" applyFill="1" applyBorder="1" applyAlignment="1" applyProtection="1">
      <alignment vertical="top" wrapText="1"/>
      <protection locked="0"/>
    </xf>
    <xf numFmtId="0" fontId="0" fillId="2" borderId="0" xfId="0" applyFill="1" applyBorder="1" applyAlignment="1" applyProtection="1">
      <alignment vertical="top" wrapText="1"/>
      <protection locked="0"/>
    </xf>
    <xf numFmtId="0" fontId="0" fillId="2" borderId="15" xfId="0" applyFill="1" applyBorder="1" applyAlignment="1" applyProtection="1">
      <alignment vertical="top" wrapText="1"/>
      <protection locked="0"/>
    </xf>
    <xf numFmtId="0" fontId="0" fillId="2" borderId="24" xfId="0" applyFill="1" applyBorder="1" applyAlignment="1" applyProtection="1">
      <alignment vertical="top" wrapText="1"/>
      <protection locked="0"/>
    </xf>
    <xf numFmtId="0" fontId="0" fillId="2" borderId="7" xfId="0" applyFill="1" applyBorder="1" applyAlignment="1" applyProtection="1">
      <alignment vertical="top" wrapText="1"/>
      <protection locked="0"/>
    </xf>
    <xf numFmtId="0" fontId="0" fillId="2" borderId="14" xfId="0" applyFill="1" applyBorder="1" applyAlignment="1" applyProtection="1">
      <alignment vertical="top" wrapText="1"/>
      <protection locked="0"/>
    </xf>
    <xf numFmtId="49" fontId="0" fillId="2" borderId="0" xfId="0" applyNumberFormat="1" applyFill="1" applyBorder="1" applyAlignment="1" applyProtection="1">
      <alignment horizontal="left"/>
      <protection locked="0"/>
    </xf>
    <xf numFmtId="0" fontId="4" fillId="2" borderId="0" xfId="0" applyFont="1" applyFill="1" applyBorder="1" applyAlignment="1" applyProtection="1">
      <alignment horizontal="center"/>
      <protection locked="0"/>
    </xf>
    <xf numFmtId="0" fontId="11" fillId="2" borderId="0" xfId="0" applyFont="1" applyFill="1" applyBorder="1" applyAlignment="1">
      <alignment horizontal="left" vertical="top" wrapText="1"/>
    </xf>
    <xf numFmtId="0" fontId="12" fillId="4" borderId="0" xfId="0" applyFont="1" applyFill="1" applyBorder="1" applyAlignment="1" applyProtection="1">
      <alignment horizontal="center"/>
      <protection locked="0"/>
    </xf>
    <xf numFmtId="0" fontId="6" fillId="2" borderId="0" xfId="0" applyFont="1" applyFill="1" applyBorder="1" applyAlignment="1" applyProtection="1">
      <alignment horizontal="left" vertical="center"/>
      <protection locked="0"/>
    </xf>
    <xf numFmtId="0" fontId="0" fillId="2" borderId="23" xfId="0" applyFill="1" applyBorder="1" applyAlignment="1">
      <alignment horizontal="left" wrapText="1"/>
    </xf>
    <xf numFmtId="0" fontId="1" fillId="3" borderId="20" xfId="0" applyFont="1" applyFill="1" applyBorder="1" applyAlignment="1">
      <alignment horizontal="center"/>
    </xf>
    <xf numFmtId="0" fontId="1" fillId="3" borderId="21" xfId="0" applyFont="1" applyFill="1" applyBorder="1" applyAlignment="1">
      <alignment horizontal="center"/>
    </xf>
    <xf numFmtId="164" fontId="0" fillId="2" borderId="3" xfId="0" applyNumberFormat="1" applyFill="1" applyBorder="1" applyAlignment="1" applyProtection="1">
      <alignment horizontal="center"/>
      <protection locked="0"/>
    </xf>
    <xf numFmtId="0" fontId="0" fillId="2" borderId="0" xfId="0" applyFill="1" applyBorder="1" applyAlignment="1" applyProtection="1">
      <alignment horizontal="left" wrapText="1"/>
      <protection locked="0"/>
    </xf>
    <xf numFmtId="0" fontId="0" fillId="2" borderId="15" xfId="0" applyFill="1" applyBorder="1" applyAlignment="1" applyProtection="1">
      <alignment horizontal="left" wrapText="1"/>
      <protection locked="0"/>
    </xf>
    <xf numFmtId="0" fontId="0" fillId="2" borderId="7" xfId="0" applyFill="1" applyBorder="1" applyAlignment="1" applyProtection="1">
      <alignment horizontal="left" wrapText="1"/>
      <protection locked="0"/>
    </xf>
    <xf numFmtId="0" fontId="0" fillId="2" borderId="14" xfId="0" applyFill="1" applyBorder="1" applyAlignment="1" applyProtection="1">
      <alignment horizontal="left" wrapText="1"/>
      <protection locked="0"/>
    </xf>
    <xf numFmtId="0" fontId="0" fillId="2" borderId="2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15" xfId="0" applyFill="1" applyBorder="1" applyAlignment="1" applyProtection="1">
      <alignment wrapText="1"/>
      <protection locked="0"/>
    </xf>
    <xf numFmtId="0" fontId="0" fillId="2" borderId="24" xfId="0" applyFill="1" applyBorder="1" applyAlignment="1" applyProtection="1">
      <alignment wrapText="1"/>
      <protection locked="0"/>
    </xf>
    <xf numFmtId="0" fontId="0" fillId="2" borderId="7" xfId="0" applyFill="1" applyBorder="1" applyAlignment="1" applyProtection="1">
      <alignment wrapText="1"/>
      <protection locked="0"/>
    </xf>
    <xf numFmtId="0" fontId="0" fillId="2" borderId="14" xfId="0" applyFill="1" applyBorder="1" applyAlignment="1" applyProtection="1">
      <alignment wrapText="1"/>
      <protection locked="0"/>
    </xf>
    <xf numFmtId="0" fontId="0" fillId="2" borderId="0" xfId="0" applyFill="1" applyBorder="1" applyAlignment="1" applyProtection="1">
      <alignment horizontal="left" vertical="top" wrapText="1"/>
      <protection locked="0"/>
    </xf>
    <xf numFmtId="0" fontId="0" fillId="2" borderId="15" xfId="0" applyFill="1" applyBorder="1" applyAlignment="1" applyProtection="1">
      <alignment horizontal="left" vertical="top" wrapText="1"/>
      <protection locked="0"/>
    </xf>
    <xf numFmtId="0" fontId="0" fillId="2" borderId="7" xfId="0" applyFill="1" applyBorder="1" applyAlignment="1" applyProtection="1">
      <alignment horizontal="left" vertical="top" wrapText="1"/>
      <protection locked="0"/>
    </xf>
    <xf numFmtId="0" fontId="0" fillId="2" borderId="14" xfId="0" applyFill="1" applyBorder="1" applyAlignment="1" applyProtection="1">
      <alignment horizontal="left" vertical="top" wrapText="1"/>
      <protection locked="0"/>
    </xf>
    <xf numFmtId="0" fontId="0" fillId="2" borderId="0" xfId="0" applyFill="1" applyBorder="1" applyAlignment="1">
      <alignment horizontal="left" vertical="top" wrapText="1"/>
    </xf>
    <xf numFmtId="0" fontId="3" fillId="2" borderId="0" xfId="0" applyFont="1" applyFill="1" applyBorder="1" applyAlignment="1" applyProtection="1">
      <alignment horizontal="center" vertical="center" wrapText="1"/>
      <protection locked="0"/>
    </xf>
    <xf numFmtId="0" fontId="4" fillId="3" borderId="0" xfId="0" applyFont="1" applyFill="1" applyBorder="1" applyAlignment="1" applyProtection="1">
      <alignment horizontal="center" vertical="center"/>
      <protection locked="0"/>
    </xf>
    <xf numFmtId="0" fontId="0" fillId="2" borderId="15" xfId="0" applyFill="1" applyBorder="1" applyAlignment="1">
      <alignment horizontal="left" vertical="top" wrapText="1"/>
    </xf>
    <xf numFmtId="0" fontId="0" fillId="2" borderId="15" xfId="0" applyFill="1" applyBorder="1" applyAlignment="1">
      <alignment horizontal="left" wrapText="1"/>
    </xf>
    <xf numFmtId="0" fontId="0" fillId="2" borderId="15" xfId="0" applyFill="1" applyBorder="1" applyAlignment="1">
      <alignment horizontal="left"/>
    </xf>
    <xf numFmtId="0" fontId="0" fillId="2" borderId="23" xfId="0" applyFill="1" applyBorder="1" applyAlignment="1">
      <alignment horizontal="left" vertical="center" wrapText="1"/>
    </xf>
    <xf numFmtId="0" fontId="0" fillId="2" borderId="0" xfId="0" applyFill="1" applyBorder="1" applyAlignment="1">
      <alignment horizontal="left" vertical="center" wrapText="1"/>
    </xf>
    <xf numFmtId="0" fontId="1" fillId="3" borderId="15" xfId="0" applyFont="1" applyFill="1" applyBorder="1" applyAlignment="1">
      <alignment horizontal="center"/>
    </xf>
    <xf numFmtId="0" fontId="0" fillId="4" borderId="0" xfId="0" applyFill="1" applyAlignment="1" applyProtection="1">
      <alignment horizontal="center" vertical="top" wrapText="1"/>
      <protection locked="0"/>
    </xf>
    <xf numFmtId="0" fontId="11" fillId="2" borderId="13" xfId="0" applyFont="1" applyFill="1" applyBorder="1" applyAlignment="1">
      <alignment horizontal="left" vertical="top"/>
    </xf>
    <xf numFmtId="0" fontId="0" fillId="2" borderId="13" xfId="0" applyFill="1" applyBorder="1" applyAlignment="1">
      <alignment horizontal="left" vertical="top"/>
    </xf>
    <xf numFmtId="0" fontId="3" fillId="3" borderId="0" xfId="0" applyFont="1" applyFill="1" applyAlignment="1">
      <alignment horizontal="center" vertical="center" wrapText="1"/>
    </xf>
    <xf numFmtId="0" fontId="3" fillId="3" borderId="7" xfId="0" applyFont="1" applyFill="1" applyBorder="1" applyAlignment="1">
      <alignment horizontal="center" vertical="center" wrapText="1"/>
    </xf>
    <xf numFmtId="0" fontId="2" fillId="5" borderId="12" xfId="0" applyFont="1" applyFill="1" applyBorder="1" applyAlignment="1">
      <alignment horizontal="center"/>
    </xf>
    <xf numFmtId="0" fontId="0" fillId="2" borderId="0" xfId="0" applyFill="1" applyAlignment="1" applyProtection="1">
      <alignment horizontal="left" vertical="top" wrapText="1"/>
      <protection locked="0"/>
    </xf>
    <xf numFmtId="0" fontId="0" fillId="2" borderId="0" xfId="0" applyFont="1" applyFill="1" applyAlignment="1" applyProtection="1">
      <alignment horizontal="left" vertical="top" wrapText="1"/>
      <protection locked="0"/>
    </xf>
    <xf numFmtId="0" fontId="0" fillId="2" borderId="15" xfId="0" applyFont="1" applyFill="1" applyBorder="1" applyAlignment="1" applyProtection="1">
      <alignment horizontal="left" vertical="top" wrapText="1"/>
      <protection locked="0"/>
    </xf>
    <xf numFmtId="0" fontId="0" fillId="2" borderId="7" xfId="0" applyFont="1" applyFill="1" applyBorder="1" applyAlignment="1" applyProtection="1">
      <alignment horizontal="left" vertical="top" wrapText="1"/>
      <protection locked="0"/>
    </xf>
    <xf numFmtId="0" fontId="0" fillId="2" borderId="14" xfId="0" applyFont="1" applyFill="1" applyBorder="1" applyAlignment="1" applyProtection="1">
      <alignment horizontal="left" vertical="top" wrapText="1"/>
      <protection locked="0"/>
    </xf>
    <xf numFmtId="0" fontId="4" fillId="2" borderId="4" xfId="0" applyFont="1" applyFill="1" applyBorder="1" applyAlignment="1" applyProtection="1">
      <alignment horizontal="center"/>
      <protection locked="0"/>
    </xf>
    <xf numFmtId="0" fontId="0" fillId="2" borderId="15" xfId="0" applyFill="1" applyBorder="1" applyAlignment="1">
      <alignment horizontal="left" vertical="center" wrapText="1"/>
    </xf>
    <xf numFmtId="0" fontId="2" fillId="5" borderId="0" xfId="0" applyFont="1" applyFill="1" applyBorder="1" applyAlignment="1">
      <alignment horizontal="left" wrapText="1"/>
    </xf>
    <xf numFmtId="0" fontId="0" fillId="2" borderId="25" xfId="0" applyFill="1" applyBorder="1" applyAlignment="1">
      <alignment horizontal="left" vertical="top"/>
    </xf>
    <xf numFmtId="0" fontId="0" fillId="2" borderId="23" xfId="0" applyFill="1" applyBorder="1" applyAlignment="1">
      <alignment horizontal="left" vertical="top" wrapText="1"/>
    </xf>
    <xf numFmtId="0" fontId="12" fillId="4" borderId="0" xfId="0" applyFont="1" applyFill="1" applyBorder="1" applyAlignment="1" applyProtection="1">
      <alignment horizontal="left"/>
      <protection locked="0"/>
    </xf>
    <xf numFmtId="0" fontId="2" fillId="5" borderId="16" xfId="0" applyFont="1" applyFill="1" applyBorder="1" applyAlignment="1">
      <alignment horizontal="center"/>
    </xf>
    <xf numFmtId="0" fontId="0" fillId="2" borderId="0" xfId="0" applyFill="1" applyBorder="1" applyAlignment="1" applyProtection="1">
      <alignment horizontal="center" vertical="top" wrapText="1"/>
      <protection locked="0"/>
    </xf>
    <xf numFmtId="0" fontId="0" fillId="2" borderId="15" xfId="0" applyFill="1" applyBorder="1" applyAlignment="1" applyProtection="1">
      <alignment horizontal="center" vertical="top" wrapText="1"/>
      <protection locked="0"/>
    </xf>
    <xf numFmtId="0" fontId="0" fillId="2" borderId="7" xfId="0" applyFill="1" applyBorder="1" applyAlignment="1" applyProtection="1">
      <alignment horizontal="center" vertical="top" wrapText="1"/>
      <protection locked="0"/>
    </xf>
    <xf numFmtId="0" fontId="0" fillId="2" borderId="14" xfId="0" applyFill="1" applyBorder="1" applyAlignment="1" applyProtection="1">
      <alignment horizontal="center" vertical="top" wrapText="1"/>
      <protection locked="0"/>
    </xf>
    <xf numFmtId="0" fontId="0" fillId="2" borderId="27" xfId="0" applyFill="1" applyBorder="1" applyAlignment="1">
      <alignment horizontal="left" wrapText="1"/>
    </xf>
    <xf numFmtId="0" fontId="0" fillId="2" borderId="27" xfId="0" applyFill="1" applyBorder="1" applyAlignment="1">
      <alignment horizontal="left" vertical="top" wrapText="1"/>
    </xf>
    <xf numFmtId="0" fontId="0" fillId="2" borderId="27" xfId="0" applyFill="1" applyBorder="1" applyAlignment="1">
      <alignment horizontal="left"/>
    </xf>
    <xf numFmtId="0" fontId="0" fillId="2" borderId="27" xfId="0" applyFill="1" applyBorder="1" applyAlignment="1">
      <alignment horizontal="left" vertical="center" wrapText="1"/>
    </xf>
    <xf numFmtId="0" fontId="3" fillId="2" borderId="11" xfId="0" applyFont="1" applyFill="1" applyBorder="1" applyAlignment="1" applyProtection="1">
      <alignment horizontal="center" vertical="center" wrapText="1"/>
      <protection locked="0"/>
    </xf>
    <xf numFmtId="0" fontId="0" fillId="2" borderId="0" xfId="0" applyFill="1" applyAlignment="1">
      <alignment horizontal="left"/>
    </xf>
    <xf numFmtId="0" fontId="19" fillId="6" borderId="7" xfId="0" applyFont="1" applyFill="1" applyBorder="1" applyAlignment="1" applyProtection="1">
      <alignment horizontal="center"/>
      <protection locked="0"/>
    </xf>
    <xf numFmtId="0" fontId="10" fillId="2" borderId="0" xfId="0" applyFont="1" applyFill="1" applyBorder="1" applyAlignment="1" applyProtection="1">
      <alignment horizontal="left"/>
      <protection locked="0"/>
    </xf>
    <xf numFmtId="0" fontId="0" fillId="2" borderId="10" xfId="0" applyFill="1" applyBorder="1" applyAlignment="1">
      <alignment horizontal="left" vertical="center" wrapText="1"/>
    </xf>
    <xf numFmtId="0" fontId="22" fillId="2" borderId="0" xfId="0" applyFont="1" applyFill="1" applyBorder="1" applyAlignment="1">
      <alignment horizontal="center" vertical="top" wrapText="1" readingOrder="1"/>
    </xf>
    <xf numFmtId="0" fontId="23" fillId="2" borderId="0" xfId="0" applyFont="1" applyFill="1" applyBorder="1" applyAlignment="1">
      <alignment horizontal="center" vertical="top" wrapText="1" readingOrder="1"/>
    </xf>
    <xf numFmtId="0" fontId="25" fillId="2" borderId="30" xfId="0" applyFont="1" applyFill="1" applyBorder="1" applyAlignment="1">
      <alignment horizontal="left"/>
    </xf>
    <xf numFmtId="0" fontId="21" fillId="2" borderId="34" xfId="0" applyFont="1" applyFill="1" applyBorder="1" applyAlignment="1">
      <alignment horizontal="center" vertical="top" wrapText="1" readingOrder="1"/>
    </xf>
    <xf numFmtId="0" fontId="21" fillId="2" borderId="0" xfId="0" applyFont="1" applyFill="1" applyBorder="1" applyAlignment="1">
      <alignment horizontal="center" vertical="top" wrapText="1" readingOrder="1"/>
    </xf>
    <xf numFmtId="0" fontId="23" fillId="2" borderId="0" xfId="0" applyFont="1" applyFill="1" applyBorder="1" applyAlignment="1">
      <alignment horizontal="left" vertical="top" wrapText="1" readingOrder="1"/>
    </xf>
    <xf numFmtId="0" fontId="22" fillId="2" borderId="0" xfId="0" applyFont="1" applyFill="1" applyBorder="1" applyAlignment="1">
      <alignment horizontal="left" vertical="top" wrapText="1" readingOrder="1"/>
    </xf>
    <xf numFmtId="0" fontId="23" fillId="7" borderId="0" xfId="0" applyFont="1" applyFill="1" applyBorder="1" applyAlignment="1">
      <alignment horizontal="left" vertical="top" wrapText="1" readingOrder="1"/>
    </xf>
    <xf numFmtId="0" fontId="22" fillId="7" borderId="0" xfId="0" applyFont="1" applyFill="1" applyBorder="1" applyAlignment="1">
      <alignment horizontal="left" vertical="top" wrapText="1" readingOrder="1"/>
    </xf>
    <xf numFmtId="0" fontId="22" fillId="2" borderId="0" xfId="0" applyFont="1" applyFill="1" applyBorder="1" applyAlignment="1">
      <alignment horizontal="left" vertical="top" wrapText="1" indent="1" readingOrder="1"/>
    </xf>
    <xf numFmtId="0" fontId="2" fillId="0" borderId="0" xfId="0" applyFont="1" applyFill="1" applyAlignment="1">
      <alignment horizontal="center"/>
    </xf>
    <xf numFmtId="0" fontId="27" fillId="2" borderId="33" xfId="0" applyFont="1" applyFill="1" applyBorder="1" applyAlignment="1">
      <alignment horizontal="left" vertical="top" wrapText="1" readingOrder="1"/>
    </xf>
    <xf numFmtId="0" fontId="27" fillId="2" borderId="0" xfId="0" applyFont="1" applyFill="1" applyBorder="1" applyAlignment="1">
      <alignment horizontal="left" vertical="top" wrapText="1" readingOrder="1"/>
    </xf>
    <xf numFmtId="0" fontId="26" fillId="3" borderId="31" xfId="0" applyFont="1" applyFill="1" applyBorder="1" applyAlignment="1">
      <alignment horizontal="center" vertical="center" wrapText="1" readingOrder="1"/>
    </xf>
    <xf numFmtId="0" fontId="26" fillId="3" borderId="32" xfId="0" applyFont="1" applyFill="1" applyBorder="1" applyAlignment="1">
      <alignment horizontal="center" vertical="center" wrapText="1" readingOrder="1"/>
    </xf>
    <xf numFmtId="0" fontId="21" fillId="2" borderId="34" xfId="0" applyFont="1" applyFill="1" applyBorder="1" applyAlignment="1">
      <alignment horizontal="left" vertical="top" wrapText="1" readingOrder="1"/>
    </xf>
    <xf numFmtId="0" fontId="21" fillId="2" borderId="0" xfId="0" applyFont="1" applyFill="1" applyAlignment="1">
      <alignment horizontal="left" vertical="top" wrapText="1" readingOrder="1"/>
    </xf>
    <xf numFmtId="0" fontId="21" fillId="2" borderId="0" xfId="0" applyFont="1" applyFill="1" applyAlignment="1">
      <alignment horizontal="center" vertical="top" wrapText="1" readingOrder="1"/>
    </xf>
    <xf numFmtId="0" fontId="0" fillId="0" borderId="0" xfId="0" applyBorder="1"/>
    <xf numFmtId="0" fontId="0" fillId="0" borderId="0" xfId="0" applyBorder="1" applyAlignment="1">
      <alignment vertical="top"/>
    </xf>
    <xf numFmtId="46" fontId="22" fillId="2" borderId="0" xfId="0" applyNumberFormat="1" applyFont="1" applyFill="1" applyBorder="1" applyAlignment="1">
      <alignment horizontal="left" vertical="top" wrapText="1" indent="1" readingOrder="1"/>
    </xf>
  </cellXfs>
  <cellStyles count="3">
    <cellStyle name="Normal" xfId="0" builtinId="0"/>
    <cellStyle name="Normal 2" xfId="2"/>
    <cellStyle name="Percent" xfId="1" builtinId="5"/>
  </cellStyles>
  <dxfs count="130">
    <dxf>
      <font>
        <color auto="1"/>
      </font>
      <fill>
        <patternFill>
          <bgColor rgb="FF99FF99"/>
        </patternFill>
      </fill>
    </dxf>
    <dxf>
      <fill>
        <patternFill>
          <bgColor rgb="FFFFFF66"/>
        </patternFill>
      </fill>
    </dxf>
    <dxf>
      <fill>
        <patternFill>
          <bgColor theme="9" tint="0.59996337778862885"/>
        </patternFill>
      </fill>
    </dxf>
    <dxf>
      <font>
        <color rgb="FFFF0000"/>
      </font>
    </dxf>
    <dxf>
      <font>
        <color auto="1"/>
      </font>
      <fill>
        <patternFill>
          <bgColor rgb="FF99FF99"/>
        </patternFill>
      </fill>
    </dxf>
    <dxf>
      <fill>
        <patternFill>
          <bgColor rgb="FFFFFF66"/>
        </patternFill>
      </fill>
    </dxf>
    <dxf>
      <fill>
        <patternFill>
          <bgColor theme="5" tint="0.59996337778862885"/>
        </patternFill>
      </fill>
    </dxf>
    <dxf>
      <font>
        <color rgb="FFFF0000"/>
      </font>
    </dxf>
    <dxf>
      <fill>
        <patternFill>
          <bgColor theme="3" tint="0.79998168889431442"/>
        </patternFill>
      </fill>
    </dxf>
    <dxf>
      <font>
        <color rgb="FFFF0000"/>
      </font>
    </dxf>
    <dxf>
      <font>
        <color auto="1"/>
      </font>
      <fill>
        <patternFill>
          <bgColor rgb="FF99FF99"/>
        </patternFill>
      </fill>
    </dxf>
    <dxf>
      <fill>
        <patternFill>
          <bgColor rgb="FFFFFF66"/>
        </patternFill>
      </fill>
    </dxf>
    <dxf>
      <font>
        <color rgb="FFFF0000"/>
      </font>
    </dxf>
    <dxf>
      <font>
        <color auto="1"/>
      </font>
      <fill>
        <patternFill>
          <bgColor rgb="FF99FF99"/>
        </patternFill>
      </fill>
    </dxf>
    <dxf>
      <fill>
        <patternFill>
          <bgColor rgb="FFFFFF66"/>
        </patternFill>
      </fill>
    </dxf>
    <dxf>
      <fill>
        <patternFill>
          <bgColor theme="3" tint="0.79998168889431442"/>
        </patternFill>
      </fill>
    </dxf>
    <dxf>
      <font>
        <color auto="1"/>
      </font>
      <fill>
        <patternFill>
          <bgColor rgb="FF99FF99"/>
        </patternFill>
      </fill>
    </dxf>
    <dxf>
      <fill>
        <patternFill>
          <bgColor rgb="FFFFFF66"/>
        </patternFill>
      </fill>
    </dxf>
    <dxf>
      <fill>
        <patternFill>
          <bgColor theme="9" tint="0.59996337778862885"/>
        </patternFill>
      </fill>
    </dxf>
    <dxf>
      <font>
        <color rgb="FFFF0000"/>
      </font>
    </dxf>
    <dxf>
      <font>
        <color auto="1"/>
      </font>
      <fill>
        <patternFill>
          <bgColor rgb="FF99FF99"/>
        </patternFill>
      </fill>
    </dxf>
    <dxf>
      <fill>
        <patternFill>
          <bgColor rgb="FFFFFF66"/>
        </patternFill>
      </fill>
    </dxf>
    <dxf>
      <fill>
        <patternFill>
          <bgColor theme="5" tint="0.59996337778862885"/>
        </patternFill>
      </fill>
    </dxf>
    <dxf>
      <font>
        <color rgb="FFFF0000"/>
      </font>
    </dxf>
    <dxf>
      <fill>
        <patternFill>
          <bgColor theme="3" tint="0.79998168889431442"/>
        </patternFill>
      </fill>
    </dxf>
    <dxf>
      <font>
        <color rgb="FFFF0000"/>
      </font>
    </dxf>
    <dxf>
      <font>
        <color auto="1"/>
      </font>
      <fill>
        <patternFill>
          <bgColor rgb="FF99FF99"/>
        </patternFill>
      </fill>
    </dxf>
    <dxf>
      <fill>
        <patternFill>
          <bgColor rgb="FFFFFF66"/>
        </patternFill>
      </fill>
    </dxf>
    <dxf>
      <font>
        <color rgb="FFFF0000"/>
      </font>
    </dxf>
    <dxf>
      <font>
        <color auto="1"/>
      </font>
      <fill>
        <patternFill>
          <bgColor rgb="FF99FF99"/>
        </patternFill>
      </fill>
    </dxf>
    <dxf>
      <fill>
        <patternFill>
          <bgColor rgb="FFFFFF66"/>
        </patternFill>
      </fill>
    </dxf>
    <dxf>
      <fill>
        <patternFill>
          <bgColor theme="3" tint="0.79998168889431442"/>
        </patternFill>
      </fill>
    </dxf>
    <dxf>
      <font>
        <color auto="1"/>
      </font>
      <fill>
        <patternFill>
          <bgColor rgb="FF99FF99"/>
        </patternFill>
      </fill>
    </dxf>
    <dxf>
      <fill>
        <patternFill>
          <bgColor rgb="FFFFFF66"/>
        </patternFill>
      </fill>
    </dxf>
    <dxf>
      <fill>
        <patternFill>
          <bgColor theme="9" tint="0.59996337778862885"/>
        </patternFill>
      </fill>
    </dxf>
    <dxf>
      <font>
        <color rgb="FFFF0000"/>
      </font>
    </dxf>
    <dxf>
      <font>
        <color auto="1"/>
      </font>
      <fill>
        <patternFill>
          <bgColor rgb="FF99FF99"/>
        </patternFill>
      </fill>
    </dxf>
    <dxf>
      <fill>
        <patternFill>
          <bgColor rgb="FFFFFF66"/>
        </patternFill>
      </fill>
    </dxf>
    <dxf>
      <fill>
        <patternFill>
          <bgColor theme="5" tint="0.59996337778862885"/>
        </patternFill>
      </fill>
    </dxf>
    <dxf>
      <font>
        <color rgb="FFFF0000"/>
      </font>
    </dxf>
    <dxf>
      <fill>
        <patternFill>
          <bgColor theme="3" tint="0.79998168889431442"/>
        </patternFill>
      </fill>
    </dxf>
    <dxf>
      <font>
        <color rgb="FFFF0000"/>
      </font>
    </dxf>
    <dxf>
      <font>
        <color auto="1"/>
      </font>
      <fill>
        <patternFill>
          <bgColor rgb="FF99FF99"/>
        </patternFill>
      </fill>
    </dxf>
    <dxf>
      <fill>
        <patternFill>
          <bgColor rgb="FFFFFF66"/>
        </patternFill>
      </fill>
    </dxf>
    <dxf>
      <font>
        <color rgb="FFFF0000"/>
      </font>
    </dxf>
    <dxf>
      <font>
        <color auto="1"/>
      </font>
      <fill>
        <patternFill>
          <bgColor rgb="FF99FF99"/>
        </patternFill>
      </fill>
    </dxf>
    <dxf>
      <fill>
        <patternFill>
          <bgColor rgb="FFFFFF66"/>
        </patternFill>
      </fill>
    </dxf>
    <dxf>
      <fill>
        <patternFill>
          <bgColor theme="3" tint="0.79998168889431442"/>
        </patternFill>
      </fill>
    </dxf>
    <dxf>
      <font>
        <color auto="1"/>
      </font>
      <fill>
        <patternFill>
          <bgColor rgb="FF99FF99"/>
        </patternFill>
      </fill>
    </dxf>
    <dxf>
      <fill>
        <patternFill>
          <bgColor rgb="FFFFFF66"/>
        </patternFill>
      </fill>
    </dxf>
    <dxf>
      <fill>
        <patternFill>
          <bgColor theme="9" tint="0.59996337778862885"/>
        </patternFill>
      </fill>
    </dxf>
    <dxf>
      <font>
        <color rgb="FFFF0000"/>
      </font>
    </dxf>
    <dxf>
      <font>
        <color auto="1"/>
      </font>
      <fill>
        <patternFill>
          <bgColor rgb="FF99FF99"/>
        </patternFill>
      </fill>
    </dxf>
    <dxf>
      <fill>
        <patternFill>
          <bgColor rgb="FFFFFF66"/>
        </patternFill>
      </fill>
    </dxf>
    <dxf>
      <fill>
        <patternFill>
          <bgColor theme="5" tint="0.59996337778862885"/>
        </patternFill>
      </fill>
    </dxf>
    <dxf>
      <font>
        <color rgb="FFFF0000"/>
      </font>
    </dxf>
    <dxf>
      <fill>
        <patternFill>
          <bgColor theme="3" tint="0.79998168889431442"/>
        </patternFill>
      </fill>
    </dxf>
    <dxf>
      <font>
        <color rgb="FFFF0000"/>
      </font>
    </dxf>
    <dxf>
      <font>
        <color auto="1"/>
      </font>
      <fill>
        <patternFill>
          <bgColor rgb="FF99FF99"/>
        </patternFill>
      </fill>
    </dxf>
    <dxf>
      <fill>
        <patternFill>
          <bgColor rgb="FFFFFF66"/>
        </patternFill>
      </fill>
    </dxf>
    <dxf>
      <font>
        <color rgb="FFFF0000"/>
      </font>
    </dxf>
    <dxf>
      <font>
        <color auto="1"/>
      </font>
      <fill>
        <patternFill>
          <bgColor rgb="FF99FF99"/>
        </patternFill>
      </fill>
    </dxf>
    <dxf>
      <fill>
        <patternFill>
          <bgColor rgb="FFFFFF66"/>
        </patternFill>
      </fill>
    </dxf>
    <dxf>
      <fill>
        <patternFill>
          <bgColor theme="3" tint="0.79998168889431442"/>
        </patternFill>
      </fill>
    </dxf>
    <dxf>
      <font>
        <color auto="1"/>
      </font>
      <fill>
        <patternFill>
          <bgColor rgb="FF99FF99"/>
        </patternFill>
      </fill>
    </dxf>
    <dxf>
      <fill>
        <patternFill>
          <bgColor rgb="FFFFFF66"/>
        </patternFill>
      </fill>
    </dxf>
    <dxf>
      <fill>
        <patternFill>
          <bgColor theme="9" tint="0.59996337778862885"/>
        </patternFill>
      </fill>
    </dxf>
    <dxf>
      <font>
        <color rgb="FFFF0000"/>
      </font>
    </dxf>
    <dxf>
      <font>
        <color auto="1"/>
      </font>
      <fill>
        <patternFill>
          <bgColor rgb="FF99FF99"/>
        </patternFill>
      </fill>
    </dxf>
    <dxf>
      <fill>
        <patternFill>
          <bgColor rgb="FFFFFF66"/>
        </patternFill>
      </fill>
    </dxf>
    <dxf>
      <fill>
        <patternFill>
          <bgColor theme="5" tint="0.59996337778862885"/>
        </patternFill>
      </fill>
    </dxf>
    <dxf>
      <font>
        <color rgb="FFFF0000"/>
      </font>
    </dxf>
    <dxf>
      <fill>
        <patternFill>
          <bgColor theme="3" tint="0.79998168889431442"/>
        </patternFill>
      </fill>
    </dxf>
    <dxf>
      <font>
        <color rgb="FFFF0000"/>
      </font>
    </dxf>
    <dxf>
      <font>
        <color auto="1"/>
      </font>
      <fill>
        <patternFill>
          <bgColor rgb="FF99FF99"/>
        </patternFill>
      </fill>
    </dxf>
    <dxf>
      <fill>
        <patternFill>
          <bgColor rgb="FFFFFF66"/>
        </patternFill>
      </fill>
    </dxf>
    <dxf>
      <font>
        <color rgb="FFFF0000"/>
      </font>
    </dxf>
    <dxf>
      <font>
        <color auto="1"/>
      </font>
      <fill>
        <patternFill>
          <bgColor rgb="FF99FF99"/>
        </patternFill>
      </fill>
    </dxf>
    <dxf>
      <fill>
        <patternFill>
          <bgColor rgb="FFFFFF66"/>
        </patternFill>
      </fill>
    </dxf>
    <dxf>
      <fill>
        <patternFill>
          <bgColor theme="3" tint="0.79998168889431442"/>
        </patternFill>
      </fill>
    </dxf>
    <dxf>
      <font>
        <b val="0"/>
        <i/>
        <color rgb="FFFF0000"/>
      </font>
    </dxf>
    <dxf>
      <font>
        <color rgb="FF00B050"/>
      </font>
    </dxf>
    <dxf>
      <font>
        <color rgb="FFFFFF00"/>
      </font>
    </dxf>
    <dxf>
      <font>
        <color rgb="FFFF0000"/>
      </font>
    </dxf>
    <dxf>
      <font>
        <color rgb="FF00B050"/>
      </font>
    </dxf>
    <dxf>
      <font>
        <color rgb="FFFFFF00"/>
      </font>
    </dxf>
    <dxf>
      <font>
        <color rgb="FFFF0000"/>
      </font>
    </dxf>
    <dxf>
      <font>
        <color rgb="FF00B050"/>
      </font>
    </dxf>
    <dxf>
      <font>
        <color rgb="FFFFFF00"/>
      </font>
    </dxf>
    <dxf>
      <font>
        <color rgb="FFFF0000"/>
      </font>
    </dxf>
    <dxf>
      <font>
        <color rgb="FF00B050"/>
      </font>
    </dxf>
    <dxf>
      <font>
        <color rgb="FFFFFF00"/>
      </font>
    </dxf>
    <dxf>
      <font>
        <color rgb="FFFF0000"/>
      </font>
    </dxf>
    <dxf>
      <font>
        <color rgb="FF00B050"/>
      </font>
    </dxf>
    <dxf>
      <font>
        <color rgb="FFFFFF00"/>
      </font>
    </dxf>
    <dxf>
      <font>
        <color rgb="FFFF0000"/>
      </font>
    </dxf>
    <dxf>
      <font>
        <color rgb="FF00B050"/>
      </font>
    </dxf>
    <dxf>
      <font>
        <color rgb="FFFFFF00"/>
      </font>
    </dxf>
    <dxf>
      <font>
        <color rgb="FFFF0000"/>
      </font>
    </dxf>
    <dxf>
      <font>
        <color rgb="FF00B050"/>
      </font>
    </dxf>
    <dxf>
      <font>
        <color rgb="FFFFFF00"/>
      </font>
    </dxf>
    <dxf>
      <font>
        <color rgb="FFFF0000"/>
      </font>
    </dxf>
    <dxf>
      <font>
        <b val="0"/>
        <i/>
        <color rgb="FFFF0000"/>
      </font>
    </dxf>
    <dxf>
      <font>
        <b val="0"/>
        <i/>
        <color rgb="FFFF0000"/>
      </font>
    </dxf>
    <dxf>
      <font>
        <b val="0"/>
        <i/>
        <color rgb="FFFF0000"/>
      </font>
    </dxf>
    <dxf>
      <font>
        <color rgb="FFFF0000"/>
      </font>
    </dxf>
    <dxf>
      <font>
        <color auto="1"/>
      </font>
      <fill>
        <patternFill>
          <bgColor rgb="FF99FF99"/>
        </patternFill>
      </fill>
    </dxf>
    <dxf>
      <fill>
        <patternFill>
          <bgColor rgb="FFFFFF66"/>
        </patternFill>
      </fill>
    </dxf>
    <dxf>
      <fill>
        <patternFill>
          <bgColor theme="9" tint="0.59996337778862885"/>
        </patternFill>
      </fill>
    </dxf>
    <dxf>
      <font>
        <color rgb="FFFF0000"/>
      </font>
    </dxf>
    <dxf>
      <font>
        <b val="0"/>
        <i/>
        <color rgb="FFFF0000"/>
      </font>
    </dxf>
    <dxf>
      <font>
        <b val="0"/>
        <i/>
        <color rgb="FFFF0000"/>
      </font>
    </dxf>
    <dxf>
      <font>
        <b val="0"/>
        <i/>
        <color rgb="FFFF0000"/>
      </font>
    </dxf>
    <dxf>
      <font>
        <color auto="1"/>
      </font>
      <fill>
        <patternFill>
          <bgColor rgb="FF99FF99"/>
        </patternFill>
      </fill>
    </dxf>
    <dxf>
      <fill>
        <patternFill>
          <bgColor rgb="FFFFFF66"/>
        </patternFill>
      </fill>
    </dxf>
    <dxf>
      <fill>
        <patternFill>
          <bgColor theme="5" tint="0.59996337778862885"/>
        </patternFill>
      </fill>
    </dxf>
    <dxf>
      <font>
        <color rgb="FFFF0000"/>
      </font>
    </dxf>
    <dxf>
      <fill>
        <patternFill>
          <bgColor theme="3" tint="0.79998168889431442"/>
        </patternFill>
      </fill>
    </dxf>
    <dxf>
      <font>
        <color rgb="FFFF0000"/>
      </font>
    </dxf>
    <dxf>
      <font>
        <color auto="1"/>
      </font>
      <fill>
        <patternFill>
          <bgColor rgb="FF99FF99"/>
        </patternFill>
      </fill>
    </dxf>
    <dxf>
      <fill>
        <patternFill>
          <bgColor rgb="FFFFFF66"/>
        </patternFill>
      </fill>
    </dxf>
    <dxf>
      <font>
        <color rgb="FFFF0000"/>
      </font>
    </dxf>
    <dxf>
      <font>
        <color auto="1"/>
      </font>
      <fill>
        <patternFill>
          <bgColor rgb="FF99FF99"/>
        </patternFill>
      </fill>
    </dxf>
    <dxf>
      <fill>
        <patternFill>
          <bgColor rgb="FFFFFF66"/>
        </patternFill>
      </fill>
    </dxf>
    <dxf>
      <fill>
        <patternFill>
          <bgColor theme="3" tint="0.79998168889431442"/>
        </patternFill>
      </fill>
    </dxf>
    <dxf>
      <font>
        <color rgb="FFFF0000"/>
      </font>
    </dxf>
    <dxf>
      <font>
        <color rgb="FFFF0000"/>
      </font>
    </dxf>
    <dxf>
      <font>
        <color rgb="FF00B050"/>
      </font>
    </dxf>
    <dxf>
      <font>
        <color rgb="FFFFFF00"/>
      </font>
    </dxf>
    <dxf>
      <font>
        <color rgb="FFFF0000"/>
      </font>
    </dxf>
  </dxfs>
  <tableStyles count="0" defaultTableStyle="TableStyleMedium9" defaultPivotStyle="PivotStyleLight16"/>
  <colors>
    <mruColors>
      <color rgb="FF0066A4"/>
      <color rgb="FFE2E2E2"/>
      <color rgb="FF00448B"/>
      <color rgb="FFBFBFBF"/>
      <color rgb="FFFFFF66"/>
      <color rgb="FF99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Caption" ax:value="Export to PPT slide"/>
  <ax:ocxPr ax:name="Size" ax:value="4207;1482"/>
  <ax:ocxPr ax:name="FontName" ax:value="Calibri"/>
  <ax:ocxPr ax:name="FontHeight" ax:value="225"/>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5</xdr:row>
      <xdr:rowOff>0</xdr:rowOff>
    </xdr:from>
    <xdr:to>
      <xdr:col>0</xdr:col>
      <xdr:colOff>612475</xdr:colOff>
      <xdr:row>6</xdr:row>
      <xdr:rowOff>180435</xdr:rowOff>
    </xdr:to>
    <xdr:pic>
      <xdr:nvPicPr>
        <xdr:cNvPr id="2" name="Picture 1" descr="Bell_RGB_Lg"/>
        <xdr:cNvPicPr/>
      </xdr:nvPicPr>
      <xdr:blipFill>
        <a:blip xmlns:r="http://schemas.openxmlformats.org/officeDocument/2006/relationships" r:embed="rId1" cstate="print"/>
        <a:srcRect/>
        <a:stretch>
          <a:fillRect/>
        </a:stretch>
      </xdr:blipFill>
      <xdr:spPr bwMode="auto">
        <a:xfrm>
          <a:off x="19050" y="762000"/>
          <a:ext cx="593425" cy="37093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5</xdr:row>
      <xdr:rowOff>0</xdr:rowOff>
    </xdr:from>
    <xdr:to>
      <xdr:col>0</xdr:col>
      <xdr:colOff>612475</xdr:colOff>
      <xdr:row>6</xdr:row>
      <xdr:rowOff>180435</xdr:rowOff>
    </xdr:to>
    <xdr:pic>
      <xdr:nvPicPr>
        <xdr:cNvPr id="2" name="Picture 1" descr="Bell_RGB_Lg"/>
        <xdr:cNvPicPr/>
      </xdr:nvPicPr>
      <xdr:blipFill>
        <a:blip xmlns:r="http://schemas.openxmlformats.org/officeDocument/2006/relationships" r:embed="rId1" cstate="print"/>
        <a:srcRect/>
        <a:stretch>
          <a:fillRect/>
        </a:stretch>
      </xdr:blipFill>
      <xdr:spPr bwMode="auto">
        <a:xfrm>
          <a:off x="19050" y="952500"/>
          <a:ext cx="593425" cy="37093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xdr:colOff>
      <xdr:row>5</xdr:row>
      <xdr:rowOff>0</xdr:rowOff>
    </xdr:from>
    <xdr:to>
      <xdr:col>0</xdr:col>
      <xdr:colOff>612475</xdr:colOff>
      <xdr:row>6</xdr:row>
      <xdr:rowOff>180435</xdr:rowOff>
    </xdr:to>
    <xdr:pic>
      <xdr:nvPicPr>
        <xdr:cNvPr id="2" name="Picture 1" descr="Bell_RGB_Lg"/>
        <xdr:cNvPicPr/>
      </xdr:nvPicPr>
      <xdr:blipFill>
        <a:blip xmlns:r="http://schemas.openxmlformats.org/officeDocument/2006/relationships" r:embed="rId1" cstate="print"/>
        <a:srcRect/>
        <a:stretch>
          <a:fillRect/>
        </a:stretch>
      </xdr:blipFill>
      <xdr:spPr bwMode="auto">
        <a:xfrm>
          <a:off x="19050" y="952500"/>
          <a:ext cx="593425" cy="37093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xdr:colOff>
      <xdr:row>5</xdr:row>
      <xdr:rowOff>0</xdr:rowOff>
    </xdr:from>
    <xdr:to>
      <xdr:col>0</xdr:col>
      <xdr:colOff>612475</xdr:colOff>
      <xdr:row>6</xdr:row>
      <xdr:rowOff>180435</xdr:rowOff>
    </xdr:to>
    <xdr:pic>
      <xdr:nvPicPr>
        <xdr:cNvPr id="2" name="Picture 1" descr="Bell_RGB_Lg"/>
        <xdr:cNvPicPr/>
      </xdr:nvPicPr>
      <xdr:blipFill>
        <a:blip xmlns:r="http://schemas.openxmlformats.org/officeDocument/2006/relationships" r:embed="rId1" cstate="print"/>
        <a:srcRect/>
        <a:stretch>
          <a:fillRect/>
        </a:stretch>
      </xdr:blipFill>
      <xdr:spPr bwMode="auto">
        <a:xfrm>
          <a:off x="19050" y="952500"/>
          <a:ext cx="593425" cy="37093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449162</xdr:colOff>
      <xdr:row>2</xdr:row>
      <xdr:rowOff>104774</xdr:rowOff>
    </xdr:from>
    <xdr:to>
      <xdr:col>8</xdr:col>
      <xdr:colOff>25949</xdr:colOff>
      <xdr:row>5</xdr:row>
      <xdr:rowOff>28479</xdr:rowOff>
    </xdr:to>
    <xdr:grpSp>
      <xdr:nvGrpSpPr>
        <xdr:cNvPr id="3" name="Group 2"/>
        <xdr:cNvGrpSpPr/>
      </xdr:nvGrpSpPr>
      <xdr:grpSpPr>
        <a:xfrm>
          <a:off x="563462" y="638174"/>
          <a:ext cx="3843987" cy="495205"/>
          <a:chOff x="325337" y="200024"/>
          <a:chExt cx="3843987" cy="495205"/>
        </a:xfrm>
      </xdr:grpSpPr>
      <xdr:pic>
        <xdr:nvPicPr>
          <xdr:cNvPr id="4" name="Picture 3"/>
          <xdr:cNvPicPr>
            <a:picLocks noChangeAspect="1"/>
          </xdr:cNvPicPr>
        </xdr:nvPicPr>
        <xdr:blipFill>
          <a:blip xmlns:r="http://schemas.openxmlformats.org/officeDocument/2006/relationships" r:embed="rId1" cstate="print">
            <a:duotone>
              <a:schemeClr val="bg2">
                <a:shade val="45000"/>
                <a:satMod val="135000"/>
              </a:schemeClr>
              <a:prstClr val="white"/>
            </a:duotone>
            <a:extLst>
              <a:ext uri="{28A0092B-C50C-407E-A947-70E740481C1C}">
                <a14:useLocalDpi xmlns="" xmlns:a14="http://schemas.microsoft.com/office/drawing/2010/main" val="0"/>
              </a:ext>
            </a:extLst>
          </a:blip>
          <a:stretch>
            <a:fillRect/>
          </a:stretch>
        </xdr:blipFill>
        <xdr:spPr>
          <a:xfrm>
            <a:off x="325337" y="200024"/>
            <a:ext cx="481559" cy="495205"/>
          </a:xfrm>
          <a:prstGeom prst="rect">
            <a:avLst/>
          </a:prstGeom>
          <a:solidFill>
            <a:srgbClr val="0066A4"/>
          </a:solidFill>
        </xdr:spPr>
      </xdr:pic>
      <xdr:sp macro="" textlink="">
        <xdr:nvSpPr>
          <xdr:cNvPr id="5" name="TextBox 4"/>
          <xdr:cNvSpPr txBox="1"/>
        </xdr:nvSpPr>
        <xdr:spPr>
          <a:xfrm>
            <a:off x="797265" y="200025"/>
            <a:ext cx="3372059" cy="40270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2400" b="0">
                <a:solidFill>
                  <a:srgbClr val="0066A4"/>
                </a:solidFill>
                <a:latin typeface="Arial Narrow" pitchFamily="34" charset="0"/>
                <a:cs typeface="Arial" pitchFamily="34" charset="0"/>
              </a:rPr>
              <a:t>How</a:t>
            </a:r>
            <a:r>
              <a:rPr lang="de-DE" sz="2400" b="0" baseline="0">
                <a:solidFill>
                  <a:srgbClr val="0066A4"/>
                </a:solidFill>
                <a:latin typeface="Arial Narrow" pitchFamily="34" charset="0"/>
                <a:cs typeface="Arial" pitchFamily="34" charset="0"/>
              </a:rPr>
              <a:t> to use the tool</a:t>
            </a:r>
            <a:endParaRPr lang="en-US" sz="2400" b="0">
              <a:solidFill>
                <a:srgbClr val="0066A4"/>
              </a:solidFill>
              <a:latin typeface="Arial Narrow" pitchFamily="34" charset="0"/>
              <a:cs typeface="Arial" pitchFamily="34" charset="0"/>
            </a:endParaRPr>
          </a:p>
        </xdr:txBody>
      </xdr:sp>
    </xdr:grpSp>
    <xdr:clientData/>
  </xdr:twoCellAnchor>
  <xdr:twoCellAnchor>
    <xdr:from>
      <xdr:col>1</xdr:col>
      <xdr:colOff>476250</xdr:colOff>
      <xdr:row>8</xdr:row>
      <xdr:rowOff>172966</xdr:rowOff>
    </xdr:from>
    <xdr:to>
      <xdr:col>12</xdr:col>
      <xdr:colOff>238125</xdr:colOff>
      <xdr:row>11</xdr:row>
      <xdr:rowOff>142875</xdr:rowOff>
    </xdr:to>
    <xdr:sp macro="" textlink="">
      <xdr:nvSpPr>
        <xdr:cNvPr id="6" name="TextBox 5"/>
        <xdr:cNvSpPr txBox="1"/>
      </xdr:nvSpPr>
      <xdr:spPr>
        <a:xfrm>
          <a:off x="590550" y="1849366"/>
          <a:ext cx="6467475" cy="541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a:solidFill>
              <a:srgbClr val="333333"/>
            </a:solidFill>
            <a:latin typeface="Arial" pitchFamily="34" charset="0"/>
            <a:cs typeface="Arial" pitchFamily="34" charset="0"/>
          </a:endParaRPr>
        </a:p>
      </xdr:txBody>
    </xdr:sp>
    <xdr:clientData/>
  </xdr:twoCellAnchor>
  <xdr:twoCellAnchor>
    <xdr:from>
      <xdr:col>2</xdr:col>
      <xdr:colOff>419313</xdr:colOff>
      <xdr:row>19</xdr:row>
      <xdr:rowOff>34071</xdr:rowOff>
    </xdr:from>
    <xdr:to>
      <xdr:col>13</xdr:col>
      <xdr:colOff>76200</xdr:colOff>
      <xdr:row>22</xdr:row>
      <xdr:rowOff>104775</xdr:rowOff>
    </xdr:to>
    <xdr:sp macro="" textlink="">
      <xdr:nvSpPr>
        <xdr:cNvPr id="8" name="TextBox 7"/>
        <xdr:cNvSpPr txBox="1"/>
      </xdr:nvSpPr>
      <xdr:spPr>
        <a:xfrm>
          <a:off x="1143213" y="3615471"/>
          <a:ext cx="6362487" cy="642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itchFamily="34" charset="0"/>
              <a:ea typeface="+mn-ea"/>
              <a:cs typeface="Arial" pitchFamily="34" charset="0"/>
            </a:rPr>
            <a:t>Leadership</a:t>
          </a:r>
          <a:r>
            <a:rPr lang="en-US" sz="1200" b="1" baseline="0">
              <a:solidFill>
                <a:sysClr val="windowText" lastClr="000000"/>
              </a:solidFill>
              <a:latin typeface="Arial" pitchFamily="34" charset="0"/>
              <a:ea typeface="+mn-ea"/>
              <a:cs typeface="Arial" pitchFamily="34" charset="0"/>
            </a:rPr>
            <a:t> Traits section: </a:t>
          </a:r>
          <a:r>
            <a:rPr lang="en-US" sz="1000" b="0" baseline="0">
              <a:solidFill>
                <a:sysClr val="windowText" lastClr="000000"/>
              </a:solidFill>
              <a:latin typeface="Arial" pitchFamily="34" charset="0"/>
              <a:ea typeface="+mn-ea"/>
              <a:cs typeface="Arial" pitchFamily="34" charset="0"/>
            </a:rPr>
            <a:t> </a:t>
          </a:r>
        </a:p>
        <a:p>
          <a:r>
            <a:rPr lang="en-US" sz="1000" b="0">
              <a:solidFill>
                <a:srgbClr val="333333"/>
              </a:solidFill>
              <a:latin typeface="Arial" pitchFamily="34" charset="0"/>
              <a:ea typeface="+mn-ea"/>
              <a:cs typeface="Arial" pitchFamily="34" charset="0"/>
            </a:rPr>
            <a:t>Use the drop-menu</a:t>
          </a:r>
          <a:r>
            <a:rPr lang="en-US" sz="1000" b="0" baseline="0">
              <a:solidFill>
                <a:srgbClr val="333333"/>
              </a:solidFill>
              <a:latin typeface="Arial" pitchFamily="34" charset="0"/>
              <a:ea typeface="+mn-ea"/>
              <a:cs typeface="Arial" pitchFamily="34" charset="0"/>
            </a:rPr>
            <a:t> provided for each </a:t>
          </a:r>
          <a:r>
            <a:rPr lang="en-US" sz="1000" b="0">
              <a:solidFill>
                <a:srgbClr val="333333"/>
              </a:solidFill>
              <a:latin typeface="Arial" pitchFamily="34" charset="0"/>
              <a:ea typeface="+mn-ea"/>
              <a:cs typeface="Arial" pitchFamily="34" charset="0"/>
            </a:rPr>
            <a:t>Bell</a:t>
          </a:r>
          <a:r>
            <a:rPr lang="en-US" sz="1000" b="0" baseline="0">
              <a:solidFill>
                <a:srgbClr val="333333"/>
              </a:solidFill>
              <a:latin typeface="Arial" pitchFamily="34" charset="0"/>
              <a:ea typeface="+mn-ea"/>
              <a:cs typeface="Arial" pitchFamily="34" charset="0"/>
            </a:rPr>
            <a:t> Leadership Success Profile (BLSP) leadership trait to identify the leader's current level of effectiveness.</a:t>
          </a:r>
          <a:endParaRPr lang="en-US" sz="1000" b="0">
            <a:solidFill>
              <a:srgbClr val="333333"/>
            </a:solidFill>
            <a:latin typeface="Arial" pitchFamily="34" charset="0"/>
            <a:cs typeface="Arial" pitchFamily="34" charset="0"/>
          </a:endParaRPr>
        </a:p>
      </xdr:txBody>
    </xdr:sp>
    <xdr:clientData/>
  </xdr:twoCellAnchor>
  <xdr:twoCellAnchor>
    <xdr:from>
      <xdr:col>1</xdr:col>
      <xdr:colOff>523875</xdr:colOff>
      <xdr:row>19</xdr:row>
      <xdr:rowOff>104775</xdr:rowOff>
    </xdr:from>
    <xdr:to>
      <xdr:col>2</xdr:col>
      <xdr:colOff>266699</xdr:colOff>
      <xdr:row>21</xdr:row>
      <xdr:rowOff>85725</xdr:rowOff>
    </xdr:to>
    <xdr:sp macro="" textlink="">
      <xdr:nvSpPr>
        <xdr:cNvPr id="12" name="Oval 11"/>
        <xdr:cNvSpPr/>
      </xdr:nvSpPr>
      <xdr:spPr>
        <a:xfrm>
          <a:off x="638175" y="3686175"/>
          <a:ext cx="352424" cy="361950"/>
        </a:xfrm>
        <a:prstGeom prst="ellipse">
          <a:avLst/>
        </a:prstGeom>
        <a:solidFill>
          <a:srgbClr val="0066A4"/>
        </a:solidFill>
        <a:ln>
          <a:solidFill>
            <a:srgbClr val="0066A4"/>
          </a:solidFill>
        </a:ln>
        <a:effectLst>
          <a:outerShdw blurRad="50800" dist="38100" dir="2700000" sx="95000" sy="95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xdr:from>
      <xdr:col>1</xdr:col>
      <xdr:colOff>523874</xdr:colOff>
      <xdr:row>15</xdr:row>
      <xdr:rowOff>0</xdr:rowOff>
    </xdr:from>
    <xdr:to>
      <xdr:col>2</xdr:col>
      <xdr:colOff>285749</xdr:colOff>
      <xdr:row>17</xdr:row>
      <xdr:rowOff>0</xdr:rowOff>
    </xdr:to>
    <xdr:grpSp>
      <xdr:nvGrpSpPr>
        <xdr:cNvPr id="15" name="Group 14"/>
        <xdr:cNvGrpSpPr/>
      </xdr:nvGrpSpPr>
      <xdr:grpSpPr>
        <a:xfrm>
          <a:off x="638174" y="3009900"/>
          <a:ext cx="371475" cy="381000"/>
          <a:chOff x="457199" y="2247900"/>
          <a:chExt cx="371475" cy="381000"/>
        </a:xfrm>
      </xdr:grpSpPr>
      <xdr:sp macro="" textlink="">
        <xdr:nvSpPr>
          <xdr:cNvPr id="16" name="Oval 15"/>
          <xdr:cNvSpPr/>
        </xdr:nvSpPr>
        <xdr:spPr>
          <a:xfrm>
            <a:off x="457199" y="2247900"/>
            <a:ext cx="371475" cy="381000"/>
          </a:xfrm>
          <a:prstGeom prst="ellipse">
            <a:avLst/>
          </a:prstGeom>
          <a:solidFill>
            <a:srgbClr val="0066A4"/>
          </a:solidFill>
          <a:ln>
            <a:solidFill>
              <a:srgbClr val="0066A4"/>
            </a:solidFill>
          </a:ln>
          <a:effectLst>
            <a:outerShdw blurRad="50800" dist="38100" dir="2700000" sx="95000" sy="95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7" name="Oval 16"/>
          <xdr:cNvSpPr/>
        </xdr:nvSpPr>
        <xdr:spPr>
          <a:xfrm>
            <a:off x="495300" y="2276475"/>
            <a:ext cx="314325" cy="295275"/>
          </a:xfrm>
          <a:prstGeom prst="ellipse">
            <a:avLst/>
          </a:prstGeom>
          <a:solidFill>
            <a:schemeClr val="tx1"/>
          </a:solidFill>
          <a:ln>
            <a:solidFill>
              <a:schemeClr val="bg1">
                <a:lumMod val="9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200" b="1">
                <a:solidFill>
                  <a:schemeClr val="bg1">
                    <a:lumMod val="95000"/>
                  </a:schemeClr>
                </a:solidFill>
              </a:rPr>
              <a:t>A</a:t>
            </a:r>
          </a:p>
        </xdr:txBody>
      </xdr:sp>
    </xdr:grpSp>
    <xdr:clientData/>
  </xdr:twoCellAnchor>
  <xdr:twoCellAnchor>
    <xdr:from>
      <xdr:col>1</xdr:col>
      <xdr:colOff>552450</xdr:colOff>
      <xdr:row>19</xdr:row>
      <xdr:rowOff>142875</xdr:rowOff>
    </xdr:from>
    <xdr:to>
      <xdr:col>2</xdr:col>
      <xdr:colOff>257175</xdr:colOff>
      <xdr:row>21</xdr:row>
      <xdr:rowOff>57150</xdr:rowOff>
    </xdr:to>
    <xdr:sp macro="" textlink="">
      <xdr:nvSpPr>
        <xdr:cNvPr id="18" name="Oval 17"/>
        <xdr:cNvSpPr/>
      </xdr:nvSpPr>
      <xdr:spPr>
        <a:xfrm>
          <a:off x="666750" y="3724275"/>
          <a:ext cx="314325" cy="295275"/>
        </a:xfrm>
        <a:prstGeom prst="ellipse">
          <a:avLst/>
        </a:prstGeom>
        <a:solidFill>
          <a:schemeClr val="tx1"/>
        </a:solidFill>
        <a:ln>
          <a:solidFill>
            <a:schemeClr val="bg1">
              <a:lumMod val="9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200" b="1">
              <a:solidFill>
                <a:schemeClr val="bg1"/>
              </a:solidFill>
            </a:rPr>
            <a:t>B</a:t>
          </a:r>
        </a:p>
      </xdr:txBody>
    </xdr:sp>
    <xdr:clientData/>
  </xdr:twoCellAnchor>
  <xdr:twoCellAnchor>
    <xdr:from>
      <xdr:col>1</xdr:col>
      <xdr:colOff>600075</xdr:colOff>
      <xdr:row>37</xdr:row>
      <xdr:rowOff>171449</xdr:rowOff>
    </xdr:from>
    <xdr:to>
      <xdr:col>2</xdr:col>
      <xdr:colOff>352425</xdr:colOff>
      <xdr:row>39</xdr:row>
      <xdr:rowOff>180974</xdr:rowOff>
    </xdr:to>
    <xdr:sp macro="" textlink="">
      <xdr:nvSpPr>
        <xdr:cNvPr id="19" name="Oval 18"/>
        <xdr:cNvSpPr/>
      </xdr:nvSpPr>
      <xdr:spPr>
        <a:xfrm>
          <a:off x="714375" y="7372349"/>
          <a:ext cx="361950" cy="390525"/>
        </a:xfrm>
        <a:prstGeom prst="ellipse">
          <a:avLst/>
        </a:prstGeom>
        <a:solidFill>
          <a:srgbClr val="FF0000"/>
        </a:solidFill>
        <a:ln>
          <a:solidFill>
            <a:srgbClr val="FF0000"/>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800" b="1">
              <a:solidFill>
                <a:schemeClr val="bg1"/>
              </a:solidFill>
            </a:rPr>
            <a:t>!</a:t>
          </a:r>
        </a:p>
      </xdr:txBody>
    </xdr:sp>
    <xdr:clientData/>
  </xdr:twoCellAnchor>
  <xdr:twoCellAnchor editAs="oneCell">
    <xdr:from>
      <xdr:col>1</xdr:col>
      <xdr:colOff>323850</xdr:colOff>
      <xdr:row>5</xdr:row>
      <xdr:rowOff>171450</xdr:rowOff>
    </xdr:from>
    <xdr:to>
      <xdr:col>3</xdr:col>
      <xdr:colOff>218936</xdr:colOff>
      <xdr:row>7</xdr:row>
      <xdr:rowOff>19021</xdr:rowOff>
    </xdr:to>
    <xdr:pic>
      <xdr:nvPicPr>
        <xdr:cNvPr id="20" name="Picture 19"/>
        <xdr:cNvPicPr>
          <a:picLocks noChangeAspect="1"/>
        </xdr:cNvPicPr>
      </xdr:nvPicPr>
      <xdr:blipFill>
        <a:blip xmlns:r="http://schemas.openxmlformats.org/officeDocument/2006/relationships" r:embed="rId2" cstate="print"/>
        <a:stretch>
          <a:fillRect/>
        </a:stretch>
      </xdr:blipFill>
      <xdr:spPr>
        <a:xfrm>
          <a:off x="438150" y="1276350"/>
          <a:ext cx="1114286" cy="228571"/>
        </a:xfrm>
        <a:prstGeom prst="rect">
          <a:avLst/>
        </a:prstGeom>
      </xdr:spPr>
    </xdr:pic>
    <xdr:clientData/>
  </xdr:twoCellAnchor>
  <xdr:twoCellAnchor>
    <xdr:from>
      <xdr:col>3</xdr:col>
      <xdr:colOff>238125</xdr:colOff>
      <xdr:row>5</xdr:row>
      <xdr:rowOff>47625</xdr:rowOff>
    </xdr:from>
    <xdr:to>
      <xdr:col>12</xdr:col>
      <xdr:colOff>381000</xdr:colOff>
      <xdr:row>8</xdr:row>
      <xdr:rowOff>112784</xdr:rowOff>
    </xdr:to>
    <xdr:sp macro="" textlink="">
      <xdr:nvSpPr>
        <xdr:cNvPr id="21" name="TextBox 20"/>
        <xdr:cNvSpPr txBox="1"/>
      </xdr:nvSpPr>
      <xdr:spPr>
        <a:xfrm>
          <a:off x="1571625" y="1152525"/>
          <a:ext cx="5629275" cy="63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333333"/>
              </a:solidFill>
              <a:latin typeface="Arial" pitchFamily="34" charset="0"/>
              <a:cs typeface="Arial" pitchFamily="34" charset="0"/>
            </a:rPr>
            <a:t>A security warning dialog box may appear beneath the Office ribbon on the </a:t>
          </a:r>
          <a:r>
            <a:rPr lang="en-US" sz="1000" b="1">
              <a:solidFill>
                <a:srgbClr val="0066A4"/>
              </a:solidFill>
              <a:latin typeface="Arial" pitchFamily="34" charset="0"/>
              <a:cs typeface="Arial" pitchFamily="34" charset="0"/>
            </a:rPr>
            <a:t>'Key Successor</a:t>
          </a:r>
          <a:r>
            <a:rPr lang="en-US" sz="1000" b="1">
              <a:solidFill>
                <a:schemeClr val="accent3">
                  <a:lumMod val="50000"/>
                </a:schemeClr>
              </a:solidFill>
              <a:latin typeface="Arial" pitchFamily="34" charset="0"/>
              <a:ea typeface="+mn-ea"/>
              <a:cs typeface="Arial" pitchFamily="34" charset="0"/>
            </a:rPr>
            <a:t>' </a:t>
          </a:r>
          <a:r>
            <a:rPr lang="en-US" sz="1000">
              <a:solidFill>
                <a:srgbClr val="333333"/>
              </a:solidFill>
              <a:latin typeface="Arial" pitchFamily="34" charset="0"/>
              <a:ea typeface="+mn-ea"/>
              <a:cs typeface="Arial" pitchFamily="34" charset="0"/>
            </a:rPr>
            <a:t>Tab</a:t>
          </a:r>
          <a:r>
            <a:rPr lang="en-US" sz="1000" b="1">
              <a:solidFill>
                <a:schemeClr val="accent3">
                  <a:lumMod val="50000"/>
                </a:schemeClr>
              </a:solidFill>
              <a:latin typeface="Arial" pitchFamily="34" charset="0"/>
              <a:ea typeface="+mn-ea"/>
              <a:cs typeface="Arial" pitchFamily="34" charset="0"/>
            </a:rPr>
            <a:t> </a:t>
          </a:r>
          <a:r>
            <a:rPr lang="en-US" sz="1000">
              <a:solidFill>
                <a:srgbClr val="333333"/>
              </a:solidFill>
              <a:latin typeface="Arial" pitchFamily="34" charset="0"/>
              <a:cs typeface="Arial" pitchFamily="34" charset="0"/>
            </a:rPr>
            <a:t>indicating your attempt to run a spreadsheet that contains macros.  Click</a:t>
          </a:r>
          <a:r>
            <a:rPr lang="en-US" sz="1000" baseline="0">
              <a:solidFill>
                <a:srgbClr val="333333"/>
              </a:solidFill>
              <a:latin typeface="Arial" pitchFamily="34" charset="0"/>
              <a:cs typeface="Arial" pitchFamily="34" charset="0"/>
            </a:rPr>
            <a:t> on</a:t>
          </a:r>
          <a:r>
            <a:rPr lang="en-US" sz="1000">
              <a:solidFill>
                <a:srgbClr val="333333"/>
              </a:solidFill>
              <a:latin typeface="Arial" pitchFamily="34" charset="0"/>
              <a:cs typeface="Arial" pitchFamily="34" charset="0"/>
            </a:rPr>
            <a:t> </a:t>
          </a:r>
          <a:r>
            <a:rPr lang="en-US" sz="1000" b="1">
              <a:solidFill>
                <a:srgbClr val="0066A4"/>
              </a:solidFill>
              <a:latin typeface="Arial" pitchFamily="34" charset="0"/>
              <a:ea typeface="+mn-ea"/>
              <a:cs typeface="Arial" pitchFamily="34" charset="0"/>
            </a:rPr>
            <a:t>Enable</a:t>
          </a:r>
          <a:r>
            <a:rPr lang="en-US" sz="1000">
              <a:solidFill>
                <a:srgbClr val="0066A4"/>
              </a:solidFill>
              <a:latin typeface="Arial" pitchFamily="34" charset="0"/>
              <a:cs typeface="Arial" pitchFamily="34" charset="0"/>
            </a:rPr>
            <a:t> </a:t>
          </a:r>
          <a:r>
            <a:rPr lang="en-US" sz="1000" b="1">
              <a:solidFill>
                <a:srgbClr val="0066A4"/>
              </a:solidFill>
              <a:latin typeface="Arial" pitchFamily="34" charset="0"/>
              <a:ea typeface="+mn-ea"/>
              <a:cs typeface="Arial" pitchFamily="34" charset="0"/>
            </a:rPr>
            <a:t>Content</a:t>
          </a:r>
          <a:r>
            <a:rPr lang="en-US" sz="1000">
              <a:solidFill>
                <a:srgbClr val="333333"/>
              </a:solidFill>
              <a:latin typeface="Arial" pitchFamily="34" charset="0"/>
              <a:cs typeface="Arial" pitchFamily="34" charset="0"/>
            </a:rPr>
            <a:t> button to allow macros to run within the current spreadsheet. </a:t>
          </a:r>
        </a:p>
      </xdr:txBody>
    </xdr:sp>
    <xdr:clientData/>
  </xdr:twoCellAnchor>
  <xdr:twoCellAnchor>
    <xdr:from>
      <xdr:col>1</xdr:col>
      <xdr:colOff>533400</xdr:colOff>
      <xdr:row>23</xdr:row>
      <xdr:rowOff>152400</xdr:rowOff>
    </xdr:from>
    <xdr:to>
      <xdr:col>2</xdr:col>
      <xdr:colOff>276224</xdr:colOff>
      <xdr:row>25</xdr:row>
      <xdr:rowOff>133350</xdr:rowOff>
    </xdr:to>
    <xdr:sp macro="" textlink="">
      <xdr:nvSpPr>
        <xdr:cNvPr id="29" name="Oval 28"/>
        <xdr:cNvSpPr/>
      </xdr:nvSpPr>
      <xdr:spPr>
        <a:xfrm>
          <a:off x="647700" y="4495800"/>
          <a:ext cx="352424" cy="361950"/>
        </a:xfrm>
        <a:prstGeom prst="ellipse">
          <a:avLst/>
        </a:prstGeom>
        <a:solidFill>
          <a:srgbClr val="0066A4"/>
        </a:solidFill>
        <a:ln>
          <a:solidFill>
            <a:srgbClr val="0066A4"/>
          </a:solidFill>
        </a:ln>
        <a:effectLst>
          <a:outerShdw blurRad="50800" dist="38100" dir="2700000" sx="95000" sy="95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xdr:from>
      <xdr:col>1</xdr:col>
      <xdr:colOff>552450</xdr:colOff>
      <xdr:row>23</xdr:row>
      <xdr:rowOff>180975</xdr:rowOff>
    </xdr:from>
    <xdr:to>
      <xdr:col>2</xdr:col>
      <xdr:colOff>257175</xdr:colOff>
      <xdr:row>25</xdr:row>
      <xdr:rowOff>95250</xdr:rowOff>
    </xdr:to>
    <xdr:sp macro="" textlink="">
      <xdr:nvSpPr>
        <xdr:cNvPr id="30" name="Oval 29"/>
        <xdr:cNvSpPr/>
      </xdr:nvSpPr>
      <xdr:spPr>
        <a:xfrm>
          <a:off x="666750" y="4524375"/>
          <a:ext cx="314325" cy="295275"/>
        </a:xfrm>
        <a:prstGeom prst="ellipse">
          <a:avLst/>
        </a:prstGeom>
        <a:solidFill>
          <a:schemeClr val="tx1"/>
        </a:solidFill>
        <a:ln>
          <a:solidFill>
            <a:schemeClr val="bg1">
              <a:lumMod val="9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200" b="1">
              <a:solidFill>
                <a:schemeClr val="bg1"/>
              </a:solidFill>
            </a:rPr>
            <a:t>C</a:t>
          </a:r>
        </a:p>
      </xdr:txBody>
    </xdr:sp>
    <xdr:clientData/>
  </xdr:twoCellAnchor>
  <xdr:twoCellAnchor>
    <xdr:from>
      <xdr:col>1</xdr:col>
      <xdr:colOff>552450</xdr:colOff>
      <xdr:row>28</xdr:row>
      <xdr:rowOff>19050</xdr:rowOff>
    </xdr:from>
    <xdr:to>
      <xdr:col>2</xdr:col>
      <xdr:colOff>295274</xdr:colOff>
      <xdr:row>30</xdr:row>
      <xdr:rowOff>0</xdr:rowOff>
    </xdr:to>
    <xdr:sp macro="" textlink="">
      <xdr:nvSpPr>
        <xdr:cNvPr id="31" name="Oval 30"/>
        <xdr:cNvSpPr/>
      </xdr:nvSpPr>
      <xdr:spPr>
        <a:xfrm>
          <a:off x="666750" y="5314950"/>
          <a:ext cx="352424" cy="361950"/>
        </a:xfrm>
        <a:prstGeom prst="ellipse">
          <a:avLst/>
        </a:prstGeom>
        <a:solidFill>
          <a:srgbClr val="0066A4"/>
        </a:solidFill>
        <a:ln>
          <a:solidFill>
            <a:srgbClr val="0066A4"/>
          </a:solidFill>
        </a:ln>
        <a:effectLst>
          <a:outerShdw blurRad="50800" dist="38100" dir="2700000" sx="95000" sy="95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xdr:from>
      <xdr:col>1</xdr:col>
      <xdr:colOff>581025</xdr:colOff>
      <xdr:row>28</xdr:row>
      <xdr:rowOff>57150</xdr:rowOff>
    </xdr:from>
    <xdr:to>
      <xdr:col>2</xdr:col>
      <xdr:colOff>285750</xdr:colOff>
      <xdr:row>29</xdr:row>
      <xdr:rowOff>161925</xdr:rowOff>
    </xdr:to>
    <xdr:sp macro="" textlink="">
      <xdr:nvSpPr>
        <xdr:cNvPr id="32" name="Oval 31"/>
        <xdr:cNvSpPr/>
      </xdr:nvSpPr>
      <xdr:spPr>
        <a:xfrm>
          <a:off x="695325" y="5353050"/>
          <a:ext cx="314325" cy="295275"/>
        </a:xfrm>
        <a:prstGeom prst="ellipse">
          <a:avLst/>
        </a:prstGeom>
        <a:solidFill>
          <a:schemeClr val="tx1"/>
        </a:solidFill>
        <a:ln>
          <a:solidFill>
            <a:schemeClr val="bg1">
              <a:lumMod val="9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200" b="1">
              <a:solidFill>
                <a:schemeClr val="bg1"/>
              </a:solidFill>
            </a:rPr>
            <a:t>D</a:t>
          </a:r>
        </a:p>
      </xdr:txBody>
    </xdr:sp>
    <xdr:clientData/>
  </xdr:twoCellAnchor>
  <xdr:twoCellAnchor>
    <xdr:from>
      <xdr:col>1</xdr:col>
      <xdr:colOff>314325</xdr:colOff>
      <xdr:row>8</xdr:row>
      <xdr:rowOff>114301</xdr:rowOff>
    </xdr:from>
    <xdr:to>
      <xdr:col>12</xdr:col>
      <xdr:colOff>228600</xdr:colOff>
      <xdr:row>14</xdr:row>
      <xdr:rowOff>38101</xdr:rowOff>
    </xdr:to>
    <xdr:sp macro="" textlink="">
      <xdr:nvSpPr>
        <xdr:cNvPr id="35" name="TextBox 34"/>
        <xdr:cNvSpPr txBox="1"/>
      </xdr:nvSpPr>
      <xdr:spPr>
        <a:xfrm>
          <a:off x="428625" y="1790701"/>
          <a:ext cx="6619875"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latin typeface="Arial" pitchFamily="34" charset="0"/>
              <a:cs typeface="Arial" pitchFamily="34" charset="0"/>
            </a:rPr>
            <a:t>This Tool: </a:t>
          </a:r>
        </a:p>
        <a:p>
          <a:r>
            <a:rPr lang="en-US" sz="1000" b="0">
              <a:solidFill>
                <a:schemeClr val="tx1"/>
              </a:solidFill>
              <a:latin typeface="Arial" pitchFamily="34" charset="0"/>
              <a:cs typeface="Arial" pitchFamily="34" charset="0"/>
            </a:rPr>
            <a:t>This tool is intended</a:t>
          </a:r>
          <a:r>
            <a:rPr lang="en-US" sz="1000" b="0" baseline="0">
              <a:solidFill>
                <a:schemeClr val="tx1"/>
              </a:solidFill>
              <a:latin typeface="Arial" pitchFamily="34" charset="0"/>
              <a:cs typeface="Arial" pitchFamily="34" charset="0"/>
            </a:rPr>
            <a:t> to help you identify the development needs of your leaders as they prepare for succession to a next level role.  The tool represents both an assessment and a checklist to identify and plan for closing development gaps during the upcoming executive mid-year talent review discussion.</a:t>
          </a:r>
          <a:endParaRPr lang="en-US" sz="1200" b="1">
            <a:solidFill>
              <a:schemeClr val="tx1"/>
            </a:solidFill>
            <a:latin typeface="Arial" pitchFamily="34" charset="0"/>
            <a:cs typeface="Arial" pitchFamily="34" charset="0"/>
          </a:endParaRPr>
        </a:p>
      </xdr:txBody>
    </xdr:sp>
    <xdr:clientData/>
  </xdr:twoCellAnchor>
  <xdr:twoCellAnchor>
    <xdr:from>
      <xdr:col>2</xdr:col>
      <xdr:colOff>409575</xdr:colOff>
      <xdr:row>14</xdr:row>
      <xdr:rowOff>19050</xdr:rowOff>
    </xdr:from>
    <xdr:to>
      <xdr:col>13</xdr:col>
      <xdr:colOff>323850</xdr:colOff>
      <xdr:row>18</xdr:row>
      <xdr:rowOff>95250</xdr:rowOff>
    </xdr:to>
    <xdr:sp macro="" textlink="">
      <xdr:nvSpPr>
        <xdr:cNvPr id="26" name="TextBox 25"/>
        <xdr:cNvSpPr txBox="1"/>
      </xdr:nvSpPr>
      <xdr:spPr>
        <a:xfrm>
          <a:off x="1133475" y="2647950"/>
          <a:ext cx="6619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latin typeface="Arial" pitchFamily="34" charset="0"/>
              <a:cs typeface="Arial" pitchFamily="34" charset="0"/>
            </a:rPr>
            <a:t>Data needed for Leadership information</a:t>
          </a:r>
          <a:r>
            <a:rPr lang="en-US" sz="1200" b="1" baseline="0">
              <a:solidFill>
                <a:schemeClr val="tx1"/>
              </a:solidFill>
              <a:latin typeface="Arial" pitchFamily="34" charset="0"/>
              <a:cs typeface="Arial" pitchFamily="34" charset="0"/>
            </a:rPr>
            <a:t> section</a:t>
          </a:r>
          <a:r>
            <a:rPr lang="en-US" sz="1200" b="1">
              <a:solidFill>
                <a:schemeClr val="tx1"/>
              </a:solidFill>
              <a:latin typeface="Arial" pitchFamily="34" charset="0"/>
              <a:cs typeface="Arial" pitchFamily="34" charset="0"/>
            </a:rPr>
            <a:t>:</a:t>
          </a:r>
        </a:p>
        <a:p>
          <a:r>
            <a:rPr lang="en-US" sz="1000" b="0">
              <a:solidFill>
                <a:schemeClr val="tx1"/>
              </a:solidFill>
              <a:latin typeface="Arial" pitchFamily="34" charset="0"/>
              <a:cs typeface="Arial" pitchFamily="34" charset="0"/>
            </a:rPr>
            <a:t>Before entering information into the tool, you will need</a:t>
          </a:r>
          <a:r>
            <a:rPr lang="en-US" sz="1000" b="0" baseline="0">
              <a:solidFill>
                <a:schemeClr val="tx1"/>
              </a:solidFill>
              <a:latin typeface="Arial" pitchFamily="34" charset="0"/>
              <a:cs typeface="Arial" pitchFamily="34" charset="0"/>
            </a:rPr>
            <a:t> to gather various performance results for the leader in Career Zone.  You may need to review the Talent profile to obtain key succession data and work with your Human Resources Consultant to get the EVI score.</a:t>
          </a:r>
          <a:endParaRPr lang="en-US" sz="1200" b="1">
            <a:solidFill>
              <a:schemeClr val="tx1"/>
            </a:solidFill>
            <a:latin typeface="Arial" pitchFamily="34" charset="0"/>
            <a:cs typeface="Arial" pitchFamily="34" charset="0"/>
          </a:endParaRPr>
        </a:p>
      </xdr:txBody>
    </xdr:sp>
    <xdr:clientData/>
  </xdr:twoCellAnchor>
  <xdr:twoCellAnchor>
    <xdr:from>
      <xdr:col>2</xdr:col>
      <xdr:colOff>476250</xdr:colOff>
      <xdr:row>23</xdr:row>
      <xdr:rowOff>47624</xdr:rowOff>
    </xdr:from>
    <xdr:to>
      <xdr:col>13</xdr:col>
      <xdr:colOff>133137</xdr:colOff>
      <xdr:row>28</xdr:row>
      <xdr:rowOff>142875</xdr:rowOff>
    </xdr:to>
    <xdr:sp macro="" textlink="">
      <xdr:nvSpPr>
        <xdr:cNvPr id="27" name="TextBox 26"/>
        <xdr:cNvSpPr txBox="1"/>
      </xdr:nvSpPr>
      <xdr:spPr>
        <a:xfrm>
          <a:off x="1200150" y="4581524"/>
          <a:ext cx="6362487" cy="1047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itchFamily="34" charset="0"/>
              <a:ea typeface="+mn-ea"/>
              <a:cs typeface="Arial" pitchFamily="34" charset="0"/>
            </a:rPr>
            <a:t>Key Leadership Experiences</a:t>
          </a:r>
          <a:r>
            <a:rPr lang="en-US" sz="1200" b="1" baseline="0">
              <a:solidFill>
                <a:sysClr val="windowText" lastClr="000000"/>
              </a:solidFill>
              <a:latin typeface="Arial" pitchFamily="34" charset="0"/>
              <a:ea typeface="+mn-ea"/>
              <a:cs typeface="Arial" pitchFamily="34" charset="0"/>
            </a:rPr>
            <a:t> section: </a:t>
          </a:r>
          <a:r>
            <a:rPr lang="en-US" sz="1000" b="0" baseline="0">
              <a:solidFill>
                <a:sysClr val="windowText" lastClr="000000"/>
              </a:solidFill>
              <a:latin typeface="Arial" pitchFamily="34" charset="0"/>
              <a:ea typeface="+mn-ea"/>
              <a:cs typeface="Arial" pitchFamily="34" charset="0"/>
            </a:rPr>
            <a:t> </a:t>
          </a:r>
        </a:p>
        <a:p>
          <a:r>
            <a:rPr lang="en-US" sz="1000" b="0">
              <a:solidFill>
                <a:srgbClr val="333333"/>
              </a:solidFill>
              <a:latin typeface="Arial" pitchFamily="34" charset="0"/>
              <a:ea typeface="+mn-ea"/>
              <a:cs typeface="Arial" pitchFamily="34" charset="0"/>
            </a:rPr>
            <a:t>Use the key leadership experiences</a:t>
          </a:r>
          <a:r>
            <a:rPr lang="en-US" sz="1000" b="0" baseline="0">
              <a:solidFill>
                <a:srgbClr val="333333"/>
              </a:solidFill>
              <a:latin typeface="Arial" pitchFamily="34" charset="0"/>
              <a:ea typeface="+mn-ea"/>
              <a:cs typeface="Arial" pitchFamily="34" charset="0"/>
            </a:rPr>
            <a:t> </a:t>
          </a:r>
          <a:r>
            <a:rPr lang="en-US" sz="1000" b="0">
              <a:solidFill>
                <a:srgbClr val="333333"/>
              </a:solidFill>
              <a:latin typeface="Arial" pitchFamily="34" charset="0"/>
              <a:ea typeface="+mn-ea"/>
              <a:cs typeface="Arial" pitchFamily="34" charset="0"/>
            </a:rPr>
            <a:t>checklists to identify the experiences</a:t>
          </a:r>
          <a:r>
            <a:rPr lang="en-US" sz="1000" b="0" baseline="0">
              <a:solidFill>
                <a:srgbClr val="333333"/>
              </a:solidFill>
              <a:latin typeface="Arial" pitchFamily="34" charset="0"/>
              <a:ea typeface="+mn-ea"/>
              <a:cs typeface="Arial" pitchFamily="34" charset="0"/>
            </a:rPr>
            <a:t> that the leader has already completed in their current or past role.  You will also</a:t>
          </a:r>
          <a:r>
            <a:rPr lang="en-US" sz="1000" b="0">
              <a:solidFill>
                <a:srgbClr val="333333"/>
              </a:solidFill>
              <a:latin typeface="Arial" pitchFamily="34" charset="0"/>
              <a:ea typeface="+mn-ea"/>
              <a:cs typeface="Arial" pitchFamily="34" charset="0"/>
            </a:rPr>
            <a:t> identify experiences</a:t>
          </a:r>
          <a:r>
            <a:rPr lang="en-US" sz="1000" b="0" baseline="0">
              <a:solidFill>
                <a:srgbClr val="333333"/>
              </a:solidFill>
              <a:latin typeface="Arial" pitchFamily="34" charset="0"/>
              <a:ea typeface="+mn-ea"/>
              <a:cs typeface="Arial" pitchFamily="34" charset="0"/>
            </a:rPr>
            <a:t> that are required for the next level role successor.  The </a:t>
          </a:r>
          <a:r>
            <a:rPr lang="en-US" sz="1000" b="1" baseline="0">
              <a:solidFill>
                <a:srgbClr val="333333"/>
              </a:solidFill>
              <a:latin typeface="Arial" pitchFamily="34" charset="0"/>
              <a:ea typeface="+mn-ea"/>
              <a:cs typeface="Arial" pitchFamily="34" charset="0"/>
            </a:rPr>
            <a:t>'</a:t>
          </a:r>
          <a:r>
            <a:rPr lang="en-US" sz="1000" b="1" baseline="0">
              <a:solidFill>
                <a:srgbClr val="0066A4"/>
              </a:solidFill>
              <a:latin typeface="Arial" pitchFamily="34" charset="0"/>
              <a:ea typeface="+mn-ea"/>
              <a:cs typeface="Arial" pitchFamily="34" charset="0"/>
            </a:rPr>
            <a:t>Career Accomplishment</a:t>
          </a:r>
          <a:r>
            <a:rPr lang="en-US" sz="1000" b="0" baseline="0">
              <a:solidFill>
                <a:srgbClr val="0066A4"/>
              </a:solidFill>
              <a:latin typeface="Arial" pitchFamily="34" charset="0"/>
              <a:ea typeface="+mn-ea"/>
              <a:cs typeface="Arial" pitchFamily="34" charset="0"/>
            </a:rPr>
            <a:t>' </a:t>
          </a:r>
          <a:r>
            <a:rPr lang="en-US" sz="1000" b="0" baseline="0">
              <a:solidFill>
                <a:srgbClr val="333333"/>
              </a:solidFill>
              <a:latin typeface="Arial" pitchFamily="34" charset="0"/>
              <a:ea typeface="+mn-ea"/>
              <a:cs typeface="Arial" pitchFamily="34" charset="0"/>
            </a:rPr>
            <a:t>section of the talent profile may be a good place to start to help you complete this section of the tool.</a:t>
          </a:r>
          <a:endParaRPr lang="en-US" sz="1000" b="0">
            <a:solidFill>
              <a:srgbClr val="333333"/>
            </a:solidFill>
            <a:latin typeface="Arial" pitchFamily="34" charset="0"/>
            <a:cs typeface="Arial" pitchFamily="34" charset="0"/>
          </a:endParaRPr>
        </a:p>
      </xdr:txBody>
    </xdr:sp>
    <xdr:clientData/>
  </xdr:twoCellAnchor>
  <xdr:twoCellAnchor>
    <xdr:from>
      <xdr:col>2</xdr:col>
      <xdr:colOff>476250</xdr:colOff>
      <xdr:row>27</xdr:row>
      <xdr:rowOff>171450</xdr:rowOff>
    </xdr:from>
    <xdr:to>
      <xdr:col>13</xdr:col>
      <xdr:colOff>133137</xdr:colOff>
      <xdr:row>32</xdr:row>
      <xdr:rowOff>133350</xdr:rowOff>
    </xdr:to>
    <xdr:sp macro="" textlink="">
      <xdr:nvSpPr>
        <xdr:cNvPr id="28" name="TextBox 27"/>
        <xdr:cNvSpPr txBox="1"/>
      </xdr:nvSpPr>
      <xdr:spPr>
        <a:xfrm>
          <a:off x="1200150" y="5467350"/>
          <a:ext cx="6362487"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itchFamily="34" charset="0"/>
              <a:ea typeface="+mn-ea"/>
              <a:cs typeface="Arial" pitchFamily="34" charset="0"/>
            </a:rPr>
            <a:t>Development plan </a:t>
          </a:r>
          <a:r>
            <a:rPr lang="en-US" sz="1200" b="1" baseline="0">
              <a:solidFill>
                <a:sysClr val="windowText" lastClr="000000"/>
              </a:solidFill>
              <a:latin typeface="Arial" pitchFamily="34" charset="0"/>
              <a:ea typeface="+mn-ea"/>
              <a:cs typeface="Arial" pitchFamily="34" charset="0"/>
            </a:rPr>
            <a:t>section: </a:t>
          </a:r>
          <a:r>
            <a:rPr lang="en-US" sz="1000" b="0" baseline="0">
              <a:solidFill>
                <a:sysClr val="windowText" lastClr="000000"/>
              </a:solidFill>
              <a:latin typeface="Arial" pitchFamily="34" charset="0"/>
              <a:ea typeface="+mn-ea"/>
              <a:cs typeface="Arial" pitchFamily="34" charset="0"/>
            </a:rPr>
            <a:t> </a:t>
          </a:r>
        </a:p>
        <a:p>
          <a:r>
            <a:rPr lang="en-US" sz="1000" b="0">
              <a:solidFill>
                <a:srgbClr val="333333"/>
              </a:solidFill>
              <a:latin typeface="Arial" pitchFamily="34" charset="0"/>
              <a:ea typeface="+mn-ea"/>
              <a:cs typeface="Arial" pitchFamily="34" charset="0"/>
            </a:rPr>
            <a:t>Work with</a:t>
          </a:r>
          <a:r>
            <a:rPr lang="en-US" sz="1000" b="0" baseline="0">
              <a:solidFill>
                <a:srgbClr val="333333"/>
              </a:solidFill>
              <a:latin typeface="Arial" pitchFamily="34" charset="0"/>
              <a:ea typeface="+mn-ea"/>
              <a:cs typeface="Arial" pitchFamily="34" charset="0"/>
            </a:rPr>
            <a:t> the leader to help him/her identify key development activities over the next 5 years that will set them up for success in their future next level role.  Ensure that short term, mid-terrn and long term activities are identified.</a:t>
          </a:r>
          <a:endParaRPr lang="en-US" sz="1000" b="0">
            <a:solidFill>
              <a:srgbClr val="333333"/>
            </a:solidFill>
            <a:latin typeface="Arial" pitchFamily="34" charset="0"/>
            <a:cs typeface="Arial" pitchFamily="34" charset="0"/>
          </a:endParaRPr>
        </a:p>
      </xdr:txBody>
    </xdr:sp>
    <xdr:clientData/>
  </xdr:twoCellAnchor>
  <xdr:twoCellAnchor>
    <xdr:from>
      <xdr:col>1</xdr:col>
      <xdr:colOff>523875</xdr:colOff>
      <xdr:row>33</xdr:row>
      <xdr:rowOff>161925</xdr:rowOff>
    </xdr:from>
    <xdr:to>
      <xdr:col>12</xdr:col>
      <xdr:colOff>438150</xdr:colOff>
      <xdr:row>37</xdr:row>
      <xdr:rowOff>85725</xdr:rowOff>
    </xdr:to>
    <xdr:sp macro="" textlink="">
      <xdr:nvSpPr>
        <xdr:cNvPr id="37" name="TextBox 36"/>
        <xdr:cNvSpPr txBox="1"/>
      </xdr:nvSpPr>
      <xdr:spPr>
        <a:xfrm>
          <a:off x="638175" y="6219825"/>
          <a:ext cx="6619875"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latin typeface="Arial" pitchFamily="34" charset="0"/>
              <a:cs typeface="Arial" pitchFamily="34" charset="0"/>
            </a:rPr>
            <a:t>Submission details: </a:t>
          </a:r>
        </a:p>
        <a:p>
          <a:r>
            <a:rPr lang="en-US" sz="1000" b="0">
              <a:solidFill>
                <a:schemeClr val="tx1"/>
              </a:solidFill>
              <a:latin typeface="Arial" pitchFamily="34" charset="0"/>
              <a:cs typeface="Arial" pitchFamily="34" charset="0"/>
            </a:rPr>
            <a:t>This tool </a:t>
          </a:r>
          <a:r>
            <a:rPr lang="en-US" sz="1000" b="0" baseline="0">
              <a:solidFill>
                <a:schemeClr val="tx1"/>
              </a:solidFill>
              <a:latin typeface="Arial" pitchFamily="34" charset="0"/>
              <a:cs typeface="Arial" pitchFamily="34" charset="0"/>
            </a:rPr>
            <a:t>is to be submitted to your  secure BU eSpace site used for Executive Talent in accordance with the communicated deadline in </a:t>
          </a:r>
          <a:r>
            <a:rPr lang="en-US" sz="1000" b="1" baseline="0">
              <a:solidFill>
                <a:srgbClr val="0066A4"/>
              </a:solidFill>
              <a:latin typeface="Arial" pitchFamily="34" charset="0"/>
              <a:cs typeface="Arial" pitchFamily="34" charset="0"/>
            </a:rPr>
            <a:t>May</a:t>
          </a:r>
          <a:r>
            <a:rPr lang="en-US" sz="1000" b="0" baseline="0">
              <a:solidFill>
                <a:schemeClr val="tx1"/>
              </a:solidFill>
              <a:latin typeface="Arial" pitchFamily="34" charset="0"/>
              <a:cs typeface="Arial" pitchFamily="34" charset="0"/>
            </a:rPr>
            <a:t> for all succession data.</a:t>
          </a:r>
        </a:p>
        <a:p>
          <a:endParaRPr lang="en-US" sz="1200" b="1">
            <a:solidFill>
              <a:schemeClr val="tx1"/>
            </a:solidFill>
            <a:latin typeface="Arial" pitchFamily="34" charset="0"/>
            <a:cs typeface="Arial" pitchFamily="34" charset="0"/>
          </a:endParaRPr>
        </a:p>
      </xdr:txBody>
    </xdr:sp>
    <xdr:clientData/>
  </xdr:twoCellAnchor>
  <xdr:twoCellAnchor>
    <xdr:from>
      <xdr:col>2</xdr:col>
      <xdr:colOff>495300</xdr:colOff>
      <xdr:row>37</xdr:row>
      <xdr:rowOff>114299</xdr:rowOff>
    </xdr:from>
    <xdr:to>
      <xdr:col>13</xdr:col>
      <xdr:colOff>409575</xdr:colOff>
      <xdr:row>50</xdr:row>
      <xdr:rowOff>47625</xdr:rowOff>
    </xdr:to>
    <xdr:sp macro="" textlink="">
      <xdr:nvSpPr>
        <xdr:cNvPr id="38" name="TextBox 37"/>
        <xdr:cNvSpPr txBox="1"/>
      </xdr:nvSpPr>
      <xdr:spPr>
        <a:xfrm>
          <a:off x="1219200" y="7696199"/>
          <a:ext cx="6619875" cy="2409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latin typeface="Arial" pitchFamily="34" charset="0"/>
              <a:cs typeface="Arial" pitchFamily="34" charset="0"/>
            </a:rPr>
            <a:t>Important information:</a:t>
          </a:r>
        </a:p>
        <a:p>
          <a:endParaRPr lang="en-US" sz="1200" b="1">
            <a:solidFill>
              <a:schemeClr val="tx1"/>
            </a:solidFill>
            <a:latin typeface="Arial" pitchFamily="34" charset="0"/>
            <a:cs typeface="Arial" pitchFamily="34" charset="0"/>
          </a:endParaRPr>
        </a:p>
        <a:p>
          <a:r>
            <a:rPr lang="en-US" sz="1000" b="1">
              <a:solidFill>
                <a:srgbClr val="0066A4"/>
              </a:solidFill>
              <a:latin typeface="Arial" pitchFamily="34" charset="0"/>
              <a:cs typeface="Arial" pitchFamily="34" charset="0"/>
            </a:rPr>
            <a:t>Need</a:t>
          </a:r>
          <a:r>
            <a:rPr lang="en-US" sz="1000" b="1" baseline="0">
              <a:solidFill>
                <a:srgbClr val="0066A4"/>
              </a:solidFill>
              <a:latin typeface="Arial" pitchFamily="34" charset="0"/>
              <a:cs typeface="Arial" pitchFamily="34" charset="0"/>
            </a:rPr>
            <a:t> more space for the development plan content?</a:t>
          </a:r>
          <a:r>
            <a:rPr lang="en-US" sz="1000" b="1" baseline="0">
              <a:solidFill>
                <a:schemeClr val="tx1"/>
              </a:solidFill>
              <a:latin typeface="Arial" pitchFamily="34" charset="0"/>
              <a:cs typeface="Arial" pitchFamily="34" charset="0"/>
            </a:rPr>
            <a:t> </a:t>
          </a:r>
          <a:r>
            <a:rPr lang="en-US" sz="1000" b="0" baseline="0">
              <a:solidFill>
                <a:schemeClr val="tx1"/>
              </a:solidFill>
              <a:latin typeface="Arial" pitchFamily="34" charset="0"/>
              <a:cs typeface="Arial" pitchFamily="34" charset="0"/>
            </a:rPr>
            <a:t>To add more space (row height) to the development plan fields, simply add a row as required by </a:t>
          </a:r>
          <a:r>
            <a:rPr lang="en-US" sz="1000" b="1" baseline="0">
              <a:solidFill>
                <a:srgbClr val="0066A4"/>
              </a:solidFill>
              <a:latin typeface="Arial" pitchFamily="34" charset="0"/>
              <a:cs typeface="Arial" pitchFamily="34" charset="0"/>
            </a:rPr>
            <a:t>1</a:t>
          </a:r>
          <a:r>
            <a:rPr lang="en-US" sz="1000" b="0" baseline="0">
              <a:solidFill>
                <a:schemeClr val="tx1"/>
              </a:solidFill>
              <a:latin typeface="Arial" pitchFamily="34" charset="0"/>
              <a:cs typeface="Arial" pitchFamily="34" charset="0"/>
            </a:rPr>
            <a:t>) right clicking on the cell and selecting format cells from the menu and then insert row </a:t>
          </a:r>
          <a:r>
            <a:rPr lang="en-US" sz="1000" b="1" i="1" baseline="0">
              <a:solidFill>
                <a:schemeClr val="tx1"/>
              </a:solidFill>
              <a:latin typeface="Arial" pitchFamily="34" charset="0"/>
              <a:cs typeface="Arial" pitchFamily="34" charset="0"/>
            </a:rPr>
            <a:t>OR</a:t>
          </a:r>
          <a:r>
            <a:rPr lang="en-US" sz="1000" b="0" baseline="0">
              <a:solidFill>
                <a:schemeClr val="tx1"/>
              </a:solidFill>
              <a:latin typeface="Arial" pitchFamily="34" charset="0"/>
              <a:cs typeface="Arial" pitchFamily="34" charset="0"/>
            </a:rPr>
            <a:t> </a:t>
          </a:r>
          <a:r>
            <a:rPr lang="en-US" sz="1000" b="1" baseline="0">
              <a:solidFill>
                <a:srgbClr val="0066A4"/>
              </a:solidFill>
              <a:latin typeface="Arial" pitchFamily="34" charset="0"/>
              <a:cs typeface="Arial" pitchFamily="34" charset="0"/>
            </a:rPr>
            <a:t> 2) </a:t>
          </a:r>
          <a:r>
            <a:rPr lang="en-US" sz="1100" b="0" i="0">
              <a:solidFill>
                <a:schemeClr val="dk1"/>
              </a:solidFill>
              <a:latin typeface="+mn-lt"/>
              <a:ea typeface="+mn-ea"/>
              <a:cs typeface="+mn-cs"/>
            </a:rPr>
            <a:t>place your cursor over the small line between row numbers (ex: between 27and 28) and drag the</a:t>
          </a:r>
          <a:r>
            <a:rPr lang="en-US" sz="1100" b="0" i="0" baseline="0">
              <a:solidFill>
                <a:schemeClr val="dk1"/>
              </a:solidFill>
              <a:latin typeface="+mn-lt"/>
              <a:ea typeface="+mn-ea"/>
              <a:cs typeface="+mn-cs"/>
            </a:rPr>
            <a:t> row until it is increased to your desired size.</a:t>
          </a:r>
          <a:r>
            <a:rPr lang="en-US" sz="1100" b="0" i="0">
              <a:solidFill>
                <a:schemeClr val="dk1"/>
              </a:solidFill>
              <a:latin typeface="+mn-lt"/>
              <a:ea typeface="+mn-ea"/>
              <a:cs typeface="+mn-cs"/>
            </a:rPr>
            <a:t> </a:t>
          </a:r>
          <a:endParaRPr lang="en-US" sz="1000" b="0">
            <a:solidFill>
              <a:schemeClr val="tx1"/>
            </a:solidFill>
            <a:latin typeface="Arial" pitchFamily="34" charset="0"/>
            <a:cs typeface="Arial" pitchFamily="34" charset="0"/>
          </a:endParaRPr>
        </a:p>
        <a:p>
          <a:endParaRPr lang="en-US" sz="1000" b="0">
            <a:solidFill>
              <a:schemeClr val="tx1"/>
            </a:solidFill>
            <a:latin typeface="Arial" pitchFamily="34" charset="0"/>
            <a:cs typeface="Arial" pitchFamily="34" charset="0"/>
          </a:endParaRPr>
        </a:p>
        <a:p>
          <a:endParaRPr lang="en-US" sz="1000" b="0">
            <a:solidFill>
              <a:schemeClr val="tx1"/>
            </a:solidFill>
            <a:latin typeface="Arial" pitchFamily="34" charset="0"/>
            <a:cs typeface="Arial" pitchFamily="34" charset="0"/>
          </a:endParaRPr>
        </a:p>
        <a:p>
          <a:r>
            <a:rPr lang="en-US" sz="1000" b="1">
              <a:solidFill>
                <a:srgbClr val="0066A4"/>
              </a:solidFill>
              <a:latin typeface="Arial" pitchFamily="34" charset="0"/>
              <a:cs typeface="Arial" pitchFamily="34" charset="0"/>
            </a:rPr>
            <a:t>Do you want to print the tool?  </a:t>
          </a:r>
          <a:r>
            <a:rPr lang="en-US" sz="1000" b="0">
              <a:solidFill>
                <a:schemeClr val="tx1"/>
              </a:solidFill>
              <a:latin typeface="Arial" pitchFamily="34" charset="0"/>
              <a:cs typeface="Arial" pitchFamily="34" charset="0"/>
            </a:rPr>
            <a:t>This tool is</a:t>
          </a:r>
          <a:r>
            <a:rPr lang="en-US" sz="1000" b="0" baseline="0">
              <a:solidFill>
                <a:schemeClr val="tx1"/>
              </a:solidFill>
              <a:latin typeface="Arial" pitchFamily="34" charset="0"/>
              <a:cs typeface="Arial" pitchFamily="34" charset="0"/>
            </a:rPr>
            <a:t> </a:t>
          </a:r>
          <a:r>
            <a:rPr lang="en-US" sz="1000" b="0">
              <a:solidFill>
                <a:schemeClr val="tx1"/>
              </a:solidFill>
              <a:latin typeface="Arial" pitchFamily="34" charset="0"/>
              <a:cs typeface="Arial" pitchFamily="34" charset="0"/>
            </a:rPr>
            <a:t>not intended</a:t>
          </a:r>
          <a:r>
            <a:rPr lang="en-US" sz="1000" b="0" baseline="0">
              <a:solidFill>
                <a:schemeClr val="tx1"/>
              </a:solidFill>
              <a:latin typeface="Arial" pitchFamily="34" charset="0"/>
              <a:cs typeface="Arial" pitchFamily="34" charset="0"/>
            </a:rPr>
            <a:t> to be printed.  The information you provide in your submission will be added to the Executive Talent Review binder.</a:t>
          </a:r>
        </a:p>
        <a:p>
          <a:r>
            <a:rPr lang="en-US" sz="1000" b="0" baseline="0">
              <a:solidFill>
                <a:schemeClr val="tx1"/>
              </a:solidFill>
              <a:latin typeface="Arial" pitchFamily="34" charset="0"/>
              <a:cs typeface="Arial" pitchFamily="34" charset="0"/>
            </a:rPr>
            <a:t>  </a:t>
          </a:r>
        </a:p>
        <a:p>
          <a:r>
            <a:rPr lang="en-US" sz="1000" b="0" baseline="0">
              <a:solidFill>
                <a:schemeClr val="tx1"/>
              </a:solidFill>
              <a:latin typeface="Arial" pitchFamily="34" charset="0"/>
              <a:cs typeface="Arial" pitchFamily="34" charset="0"/>
            </a:rPr>
            <a:t>If you need to print the tool, please note the </a:t>
          </a:r>
          <a:r>
            <a:rPr lang="en-US" sz="1000" b="1" baseline="0">
              <a:solidFill>
                <a:srgbClr val="0066A4"/>
              </a:solidFill>
              <a:latin typeface="Arial" pitchFamily="34" charset="0"/>
              <a:cs typeface="Arial" pitchFamily="34" charset="0"/>
            </a:rPr>
            <a:t>page break </a:t>
          </a:r>
          <a:r>
            <a:rPr lang="en-US" sz="1000" b="0" baseline="0">
              <a:solidFill>
                <a:schemeClr val="tx1"/>
              </a:solidFill>
              <a:latin typeface="Arial" pitchFamily="34" charset="0"/>
              <a:cs typeface="Arial" pitchFamily="34" charset="0"/>
            </a:rPr>
            <a:t>will need to be adjusted before printing to ensure content for each leader is printed on a single page.</a:t>
          </a:r>
        </a:p>
        <a:p>
          <a:r>
            <a:rPr lang="en-US" sz="1000" b="0" baseline="0">
              <a:solidFill>
                <a:schemeClr val="tx1"/>
              </a:solidFill>
              <a:latin typeface="Arial" pitchFamily="34" charset="0"/>
              <a:cs typeface="Arial" pitchFamily="34" charset="0"/>
            </a:rPr>
            <a:t> .</a:t>
          </a:r>
          <a:endParaRPr lang="en-US" sz="1200" b="1">
            <a:solidFill>
              <a:schemeClr val="tx1"/>
            </a:solidFill>
            <a:latin typeface="Arial" pitchFamily="34" charset="0"/>
            <a:cs typeface="Arial" pitchFamily="34" charset="0"/>
          </a:endParaRPr>
        </a:p>
      </xdr:txBody>
    </xdr:sp>
    <xdr:clientData/>
  </xdr:twoCellAnchor>
  <xdr:twoCellAnchor>
    <xdr:from>
      <xdr:col>0</xdr:col>
      <xdr:colOff>76200</xdr:colOff>
      <xdr:row>0</xdr:row>
      <xdr:rowOff>114300</xdr:rowOff>
    </xdr:from>
    <xdr:to>
      <xdr:col>14</xdr:col>
      <xdr:colOff>276225</xdr:colOff>
      <xdr:row>52</xdr:row>
      <xdr:rowOff>47625</xdr:rowOff>
    </xdr:to>
    <xdr:sp macro="" textlink="">
      <xdr:nvSpPr>
        <xdr:cNvPr id="39" name="Rounded Rectangle 38"/>
        <xdr:cNvSpPr/>
      </xdr:nvSpPr>
      <xdr:spPr>
        <a:xfrm>
          <a:off x="76200" y="114300"/>
          <a:ext cx="8210550" cy="9991725"/>
        </a:xfrm>
        <a:prstGeom prst="roundRect">
          <a:avLst/>
        </a:prstGeom>
        <a:noFill/>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22</xdr:row>
      <xdr:rowOff>140820</xdr:rowOff>
    </xdr:from>
    <xdr:to>
      <xdr:col>1</xdr:col>
      <xdr:colOff>588069</xdr:colOff>
      <xdr:row>22</xdr:row>
      <xdr:rowOff>142502</xdr:rowOff>
    </xdr:to>
    <xdr:cxnSp macro="">
      <xdr:nvCxnSpPr>
        <xdr:cNvPr id="2" name="Straight Connector 1"/>
        <xdr:cNvCxnSpPr/>
      </xdr:nvCxnSpPr>
      <xdr:spPr>
        <a:xfrm flipV="1">
          <a:off x="0" y="4629994"/>
          <a:ext cx="1623395" cy="1682"/>
        </a:xfrm>
        <a:prstGeom prst="line">
          <a:avLst/>
        </a:prstGeom>
        <a:ln w="3175">
          <a:solidFill>
            <a:srgbClr val="0066A4"/>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3305</xdr:colOff>
      <xdr:row>24</xdr:row>
      <xdr:rowOff>177276</xdr:rowOff>
    </xdr:from>
    <xdr:to>
      <xdr:col>12</xdr:col>
      <xdr:colOff>24508</xdr:colOff>
      <xdr:row>24</xdr:row>
      <xdr:rowOff>178958</xdr:rowOff>
    </xdr:to>
    <xdr:cxnSp macro="">
      <xdr:nvCxnSpPr>
        <xdr:cNvPr id="3" name="Straight Connector 2"/>
        <xdr:cNvCxnSpPr/>
      </xdr:nvCxnSpPr>
      <xdr:spPr>
        <a:xfrm flipV="1">
          <a:off x="3305" y="5039167"/>
          <a:ext cx="9281160" cy="1682"/>
        </a:xfrm>
        <a:prstGeom prst="line">
          <a:avLst/>
        </a:prstGeom>
        <a:ln w="3175">
          <a:solidFill>
            <a:srgbClr val="0066A4"/>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20HR%20Performance/C%20drive/Documents/HR%20-%20Performance%20Culture/PD%20Resources/Forms/PVAAM%20Modelling%20Tool/New%20Tool/PPR%20Modelling%20Tool_v34.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elp"/>
      <sheetName val="Aide"/>
      <sheetName val="Activer les macros"/>
      <sheetName val="Enable Macros"/>
      <sheetName val="Performance Modelling"/>
      <sheetName val="Ind. Multiplier Distribution"/>
      <sheetName val="PVAAM Distribution"/>
      <sheetName val="Developer's Tab"/>
      <sheetName val="Email Templates"/>
    </sheetNames>
    <sheetDataSet>
      <sheetData sheetId="0"/>
      <sheetData sheetId="1"/>
      <sheetData sheetId="2"/>
      <sheetData sheetId="3"/>
      <sheetData sheetId="4">
        <row r="13">
          <cell r="H13">
            <v>1.0293333333333332</v>
          </cell>
        </row>
        <row r="14">
          <cell r="I14">
            <v>0</v>
          </cell>
          <cell r="J14">
            <v>0.05</v>
          </cell>
          <cell r="K14">
            <v>0.2</v>
          </cell>
          <cell r="L14">
            <v>0.5</v>
          </cell>
          <cell r="M14">
            <v>0.2</v>
          </cell>
          <cell r="N14">
            <v>0.05</v>
          </cell>
        </row>
        <row r="15">
          <cell r="H15">
            <v>15</v>
          </cell>
        </row>
        <row r="16">
          <cell r="H16">
            <v>17</v>
          </cell>
        </row>
        <row r="22">
          <cell r="B22" t="str">
            <v>Carolyn Jolin</v>
          </cell>
        </row>
      </sheetData>
      <sheetData sheetId="5"/>
      <sheetData sheetId="6"/>
      <sheetData sheetId="7">
        <row r="3">
          <cell r="E3" t="str">
            <v>Mgmt</v>
          </cell>
        </row>
        <row r="7">
          <cell r="F7" t="str">
            <v>English</v>
          </cell>
        </row>
        <row r="22">
          <cell r="E22" t="str">
            <v>Yes</v>
          </cell>
        </row>
        <row r="39">
          <cell r="AD39" t="str">
            <v>'Performance Modelling'!</v>
          </cell>
        </row>
        <row r="48">
          <cell r="F48" t="str">
            <v>Non évalué</v>
          </cell>
        </row>
        <row r="49">
          <cell r="F49" t="str">
            <v>Unrated</v>
          </cell>
        </row>
      </sheetData>
      <sheetData sheetId="8">
        <row r="4">
          <cell r="D4" t="str">
            <v>HIGH IMPORTANCE: Complete the PPR rating for your team member(s)</v>
          </cell>
        </row>
        <row r="17">
          <cell r="G17" t="str">
            <v>&lt;br&gt;Team 2292 Member 2292 - T002292&lt;br&gt;Team 60 Member 60 - T000060&lt;br&gt;Team 147 Member 147 - T000147&lt;br&gt;Team 1252 Member 1252 - T001252</v>
          </cell>
        </row>
        <row r="63">
          <cell r="D63" t="str">
            <v>URGENT: Revise the TeamHub PPR rating for your team member Team 6 Member 6 - T000006</v>
          </cell>
          <cell r="G63" t="str">
            <v>Team 6 Member 6 - T000006</v>
          </cell>
        </row>
        <row r="145">
          <cell r="G145" t="str">
            <v>Team 1252 Member 1252 - T001252</v>
          </cell>
        </row>
        <row r="150">
          <cell r="G150" t="str">
            <v>Sarah Brade</v>
          </cell>
        </row>
        <row r="212">
          <cell r="G212" t="str">
            <v>&lt;br&gt;Preet Team_Member_1640 - T895801&lt;br&gt;Gwen Team_Member_1672 - T895717&lt;br&gt;Teena Team_Member_2782 - T890022&lt;br&gt;Harold Team_Member_3077 - T888671&lt;br&gt;Idowu Team_Member_3102 - T888608&lt;br&gt;Wayde Team_Member_3208 - T887888&lt;br&gt;Chris Team_Member_3241 - T887675&lt;br&gt;Donna Team_Member_3319 - T887112&lt;br&gt;Terri-Lynn Team_Member_3992 - T883221&lt;br&gt;Carole Team_Member_4173 - T882198&lt;br&gt;Jason Team_Member_4411 - T880752&lt;br&gt;Judy Team_Member_4437 - T880423&lt;br&gt;Linda Team_Member_4860 - T877621&lt;br&gt;Hafsah Team_Member_5243 - T874578&lt;br&gt;Punit Team_Member_5387 - T873639&lt;br&gt;Maureen Team_Member_5793 - T870709&lt;br&gt;Brad Team_Member_6058 - T867158&lt;br&gt;Victoria Team_Member_6214 - T864754&lt;br&gt;Jarett Team_Member_6344 - T860668&lt;br&gt;Diana Team_Member_6454 - T858980&lt;br&gt;Mohamad Team_Member_6522 - T858073&lt;br&gt;Joey Team_Member_6639 - T856853&lt;br&gt;Jean-Sébastien Team_Member_6842 - T855091&lt;br&gt;Lauren Team_Member_7028 - T853273&lt;br&gt;Tim Team_Member_7438 - T848649&lt;br&gt;Jacob Team_Member_7533 - T847816&lt;br&gt;Jenny Team_Member_7646 - T846624&lt;br&gt;Sherry Team_Member_7992 - T843402&lt;br&gt;Catherine Team_Member_8232 - T840746&lt;br&gt;Dameon Team_Member_8269 - T840413&lt;br&gt;Tauseeq Team_Member_8726 - T835200&lt;br&gt;Mark Team_Member_8981 - T831826&lt;br&gt;Aaron Team_Member_8992 - T831676&lt;br&gt;Elie Team_Member_9801 - T819398&lt;br&gt;Todd Team_Member_9812 - T819215&lt;br&gt;Charlene Team_Member_10281 - T807775&lt;br&gt;Thomas Team_Member_10634 - T801551&lt;br&gt;Gagan Team_Member_12917 - T025224&lt;br&gt;Bhavreet Team_Member_13063 - T020368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sheetPr codeName="Sheet2"/>
  <dimension ref="A1:Q31"/>
  <sheetViews>
    <sheetView topLeftCell="A7" workbookViewId="0">
      <selection activeCell="H27" sqref="H27"/>
    </sheetView>
  </sheetViews>
  <sheetFormatPr defaultRowHeight="15"/>
  <cols>
    <col min="1" max="1" width="29.42578125" style="1" bestFit="1" customWidth="1"/>
    <col min="2" max="2" width="8.7109375" style="1" customWidth="1"/>
    <col min="3" max="3" width="9.85546875" style="1" customWidth="1"/>
    <col min="4" max="4" width="10.140625" style="1" customWidth="1"/>
    <col min="5" max="5" width="28.140625" style="1" customWidth="1"/>
    <col min="6" max="6" width="15.140625" style="1" customWidth="1"/>
    <col min="7" max="7" width="8.140625" style="1" customWidth="1"/>
    <col min="8" max="8" width="7.140625" style="1" customWidth="1"/>
    <col min="9" max="9" width="6.85546875" style="1" customWidth="1"/>
    <col min="10" max="10" width="6.5703125" style="1" customWidth="1"/>
    <col min="11" max="11" width="9.7109375" style="1" customWidth="1"/>
    <col min="12" max="12" width="18.140625" style="1" customWidth="1"/>
    <col min="13" max="16384" width="9.140625" style="1"/>
  </cols>
  <sheetData>
    <row r="1" spans="1:17">
      <c r="E1" s="1" t="s">
        <v>33</v>
      </c>
      <c r="L1" s="1" t="s">
        <v>22</v>
      </c>
    </row>
    <row r="2" spans="1:17">
      <c r="E2" s="1" t="s">
        <v>19</v>
      </c>
      <c r="L2" s="1" t="s">
        <v>24</v>
      </c>
    </row>
    <row r="3" spans="1:17">
      <c r="E3" s="1" t="s">
        <v>20</v>
      </c>
      <c r="L3" s="1" t="s">
        <v>25</v>
      </c>
    </row>
    <row r="4" spans="1:17">
      <c r="E4" s="1" t="s">
        <v>21</v>
      </c>
      <c r="L4" s="1" t="s">
        <v>34</v>
      </c>
    </row>
    <row r="7" spans="1:17">
      <c r="E7" s="137" t="s">
        <v>6</v>
      </c>
      <c r="F7" s="138"/>
      <c r="G7" s="143" t="s">
        <v>23</v>
      </c>
      <c r="H7" s="144"/>
      <c r="I7" s="144"/>
      <c r="J7" s="144"/>
      <c r="K7" s="144"/>
      <c r="L7" s="145"/>
      <c r="M7" s="125" t="s">
        <v>52</v>
      </c>
      <c r="N7" s="126"/>
      <c r="O7" s="126"/>
      <c r="P7" s="126"/>
      <c r="Q7" s="126"/>
    </row>
    <row r="8" spans="1:17" ht="15.75" customHeight="1">
      <c r="A8" s="6" t="s">
        <v>5</v>
      </c>
      <c r="B8" s="130"/>
      <c r="C8" s="130"/>
      <c r="D8" s="130"/>
      <c r="E8" s="14" t="s">
        <v>45</v>
      </c>
      <c r="G8" s="124" t="s">
        <v>40</v>
      </c>
      <c r="H8" s="124"/>
      <c r="I8" s="124"/>
      <c r="J8" s="124"/>
      <c r="K8" s="124"/>
      <c r="L8" s="141" t="s">
        <v>22</v>
      </c>
      <c r="M8" s="124" t="s">
        <v>49</v>
      </c>
      <c r="N8" s="124"/>
      <c r="O8" s="124"/>
      <c r="P8" s="124"/>
      <c r="Q8" s="124"/>
    </row>
    <row r="9" spans="1:17" ht="15" customHeight="1">
      <c r="A9" s="6" t="s">
        <v>28</v>
      </c>
      <c r="B9" s="135"/>
      <c r="C9" s="135"/>
      <c r="D9" s="135"/>
      <c r="E9" s="4" t="s">
        <v>7</v>
      </c>
      <c r="F9" s="5" t="s">
        <v>33</v>
      </c>
      <c r="G9" s="124"/>
      <c r="H9" s="124"/>
      <c r="I9" s="124"/>
      <c r="J9" s="124"/>
      <c r="K9" s="124"/>
      <c r="L9" s="141"/>
      <c r="M9" s="124" t="s">
        <v>50</v>
      </c>
      <c r="N9" s="124"/>
      <c r="O9" s="124"/>
      <c r="P9" s="124"/>
      <c r="Q9" s="124"/>
    </row>
    <row r="10" spans="1:17" ht="15" customHeight="1">
      <c r="A10" s="6" t="s">
        <v>2</v>
      </c>
      <c r="B10" s="136"/>
      <c r="C10" s="136"/>
      <c r="D10" s="136"/>
      <c r="E10" s="4" t="s">
        <v>8</v>
      </c>
      <c r="F10" s="5" t="s">
        <v>33</v>
      </c>
      <c r="G10" s="124" t="s">
        <v>41</v>
      </c>
      <c r="H10" s="124"/>
      <c r="I10" s="124"/>
      <c r="J10" s="124"/>
      <c r="K10" s="124"/>
      <c r="L10" s="141" t="s">
        <v>22</v>
      </c>
      <c r="M10" s="124"/>
      <c r="N10" s="124"/>
      <c r="O10" s="124"/>
      <c r="P10" s="124"/>
      <c r="Q10" s="124"/>
    </row>
    <row r="11" spans="1:17" ht="15" customHeight="1">
      <c r="A11" s="6" t="s">
        <v>1</v>
      </c>
      <c r="B11" s="136"/>
      <c r="C11" s="136"/>
      <c r="D11" s="136"/>
      <c r="E11" s="4" t="s">
        <v>35</v>
      </c>
      <c r="F11" s="5" t="s">
        <v>33</v>
      </c>
      <c r="G11" s="124"/>
      <c r="H11" s="124"/>
      <c r="I11" s="124"/>
      <c r="J11" s="124"/>
      <c r="K11" s="124"/>
      <c r="L11" s="141"/>
      <c r="M11" s="124" t="s">
        <v>51</v>
      </c>
      <c r="N11" s="124"/>
      <c r="O11" s="124"/>
      <c r="P11" s="124"/>
      <c r="Q11" s="124"/>
    </row>
    <row r="12" spans="1:17">
      <c r="A12" s="6" t="s">
        <v>0</v>
      </c>
      <c r="B12" s="136"/>
      <c r="C12" s="136"/>
      <c r="D12" s="136"/>
      <c r="E12" s="15" t="s">
        <v>46</v>
      </c>
      <c r="G12" s="124"/>
      <c r="H12" s="124"/>
      <c r="I12" s="124"/>
      <c r="J12" s="124"/>
      <c r="K12" s="124"/>
      <c r="M12" s="124"/>
      <c r="N12" s="124"/>
      <c r="O12" s="124"/>
      <c r="P12" s="124"/>
      <c r="Q12" s="124"/>
    </row>
    <row r="13" spans="1:17" ht="15" customHeight="1">
      <c r="A13" s="6" t="s">
        <v>31</v>
      </c>
      <c r="B13" s="132"/>
      <c r="C13" s="132"/>
      <c r="D13" s="132"/>
      <c r="E13" s="4" t="s">
        <v>9</v>
      </c>
      <c r="F13" s="5" t="s">
        <v>33</v>
      </c>
      <c r="G13" s="139" t="s">
        <v>36</v>
      </c>
      <c r="H13" s="139"/>
      <c r="I13" s="139"/>
      <c r="J13" s="139"/>
      <c r="K13" s="139"/>
      <c r="L13" s="139"/>
      <c r="M13" s="142" t="s">
        <v>54</v>
      </c>
      <c r="N13" s="142"/>
      <c r="O13" s="142"/>
      <c r="P13" s="142"/>
      <c r="Q13" s="142"/>
    </row>
    <row r="14" spans="1:17">
      <c r="A14" s="3"/>
      <c r="B14" s="10">
        <v>2015</v>
      </c>
      <c r="C14" s="10">
        <v>2014</v>
      </c>
      <c r="D14" s="10">
        <v>2013</v>
      </c>
      <c r="E14" s="4" t="s">
        <v>10</v>
      </c>
      <c r="F14" s="5" t="s">
        <v>33</v>
      </c>
      <c r="G14" s="129" t="s">
        <v>38</v>
      </c>
      <c r="H14" s="129"/>
      <c r="I14" s="129"/>
      <c r="J14" s="129"/>
      <c r="K14" s="129"/>
      <c r="M14" s="142"/>
      <c r="N14" s="142"/>
      <c r="O14" s="142"/>
      <c r="P14" s="142"/>
      <c r="Q14" s="142"/>
    </row>
    <row r="15" spans="1:17" ht="15.75" customHeight="1">
      <c r="A15" s="7" t="s">
        <v>3</v>
      </c>
      <c r="B15" s="2"/>
      <c r="C15" s="9" t="s">
        <v>30</v>
      </c>
      <c r="D15" s="9" t="s">
        <v>30</v>
      </c>
      <c r="E15" s="15" t="s">
        <v>47</v>
      </c>
      <c r="G15" s="129"/>
      <c r="H15" s="129"/>
      <c r="I15" s="129"/>
      <c r="J15" s="129"/>
      <c r="K15" s="129"/>
      <c r="M15" s="124" t="s">
        <v>55</v>
      </c>
      <c r="N15" s="124"/>
      <c r="O15" s="124"/>
      <c r="P15" s="124"/>
      <c r="Q15" s="124"/>
    </row>
    <row r="16" spans="1:17" ht="15.75" customHeight="1">
      <c r="A16" s="7" t="s">
        <v>4</v>
      </c>
      <c r="B16" s="2"/>
      <c r="C16" s="2"/>
      <c r="D16" s="2"/>
      <c r="E16" s="4" t="s">
        <v>11</v>
      </c>
      <c r="F16" s="5" t="s">
        <v>33</v>
      </c>
      <c r="G16" s="129" t="s">
        <v>39</v>
      </c>
      <c r="H16" s="129"/>
      <c r="I16" s="129"/>
      <c r="J16" s="129"/>
      <c r="K16" s="129"/>
      <c r="L16" s="129"/>
      <c r="M16" s="124"/>
      <c r="N16" s="124"/>
      <c r="O16" s="124"/>
      <c r="P16" s="124"/>
      <c r="Q16" s="124"/>
    </row>
    <row r="17" spans="1:17" ht="15.75">
      <c r="A17" s="7" t="s">
        <v>29</v>
      </c>
      <c r="B17" s="2"/>
      <c r="C17" s="2"/>
      <c r="D17" s="2"/>
      <c r="E17" s="4" t="s">
        <v>12</v>
      </c>
      <c r="F17" s="5" t="s">
        <v>33</v>
      </c>
      <c r="G17" s="129"/>
      <c r="H17" s="129"/>
      <c r="I17" s="129"/>
      <c r="J17" s="129"/>
      <c r="K17" s="129"/>
      <c r="L17" s="129"/>
      <c r="M17" s="124" t="s">
        <v>56</v>
      </c>
      <c r="N17" s="124"/>
      <c r="O17" s="124"/>
      <c r="P17" s="124"/>
      <c r="Q17" s="124"/>
    </row>
    <row r="18" spans="1:17" ht="15.75">
      <c r="A18" s="7"/>
      <c r="B18" s="3"/>
      <c r="C18" s="3"/>
      <c r="D18" s="3"/>
      <c r="E18" s="4" t="s">
        <v>13</v>
      </c>
      <c r="F18" s="5" t="s">
        <v>33</v>
      </c>
      <c r="G18" s="129"/>
      <c r="H18" s="129"/>
      <c r="I18" s="129"/>
      <c r="J18" s="129"/>
      <c r="K18" s="129"/>
      <c r="L18" s="11"/>
      <c r="M18" s="124"/>
      <c r="N18" s="124"/>
      <c r="O18" s="124"/>
      <c r="P18" s="124"/>
      <c r="Q18" s="124"/>
    </row>
    <row r="19" spans="1:17">
      <c r="A19" s="131" t="s">
        <v>27</v>
      </c>
      <c r="B19" s="131"/>
      <c r="C19" s="131"/>
      <c r="D19" s="131"/>
      <c r="E19" s="4" t="s">
        <v>14</v>
      </c>
      <c r="F19" s="5" t="s">
        <v>33</v>
      </c>
      <c r="G19" s="139" t="s">
        <v>37</v>
      </c>
      <c r="H19" s="139"/>
      <c r="I19" s="139"/>
      <c r="J19" s="139"/>
      <c r="K19" s="139"/>
      <c r="L19" s="139"/>
      <c r="M19" s="124" t="s">
        <v>57</v>
      </c>
      <c r="N19" s="124"/>
      <c r="O19" s="124"/>
      <c r="P19" s="124"/>
      <c r="Q19" s="124"/>
    </row>
    <row r="20" spans="1:17">
      <c r="A20" s="127" t="s">
        <v>32</v>
      </c>
      <c r="B20" s="127"/>
      <c r="C20" s="127"/>
      <c r="D20" s="133" t="s">
        <v>22</v>
      </c>
      <c r="E20" s="15" t="s">
        <v>48</v>
      </c>
      <c r="G20" s="124" t="s">
        <v>42</v>
      </c>
      <c r="H20" s="124"/>
      <c r="I20" s="124"/>
      <c r="J20" s="124"/>
      <c r="K20" s="124"/>
      <c r="M20" s="124"/>
      <c r="N20" s="124"/>
      <c r="O20" s="124"/>
      <c r="P20" s="124"/>
      <c r="Q20" s="124"/>
    </row>
    <row r="21" spans="1:17">
      <c r="A21" s="127"/>
      <c r="B21" s="127"/>
      <c r="C21" s="127"/>
      <c r="D21" s="133"/>
      <c r="E21" s="4" t="s">
        <v>15</v>
      </c>
      <c r="F21" s="5" t="s">
        <v>33</v>
      </c>
      <c r="G21" s="124"/>
      <c r="H21" s="124"/>
      <c r="I21" s="124"/>
      <c r="J21" s="124"/>
      <c r="K21" s="124"/>
      <c r="M21" s="1" t="s">
        <v>58</v>
      </c>
    </row>
    <row r="22" spans="1:17" ht="15" customHeight="1">
      <c r="A22" s="127"/>
      <c r="B22" s="127"/>
      <c r="C22" s="127"/>
      <c r="D22" s="133"/>
      <c r="E22" s="4" t="s">
        <v>16</v>
      </c>
      <c r="F22" s="5" t="s">
        <v>33</v>
      </c>
      <c r="G22" s="124" t="s">
        <v>43</v>
      </c>
      <c r="H22" s="124"/>
      <c r="I22" s="124"/>
      <c r="J22" s="124"/>
      <c r="K22" s="124"/>
      <c r="M22" s="125" t="s">
        <v>61</v>
      </c>
      <c r="N22" s="126"/>
      <c r="O22" s="126"/>
      <c r="P22" s="126"/>
      <c r="Q22" s="126"/>
    </row>
    <row r="23" spans="1:17">
      <c r="A23" s="127"/>
      <c r="B23" s="127"/>
      <c r="C23" s="127"/>
      <c r="D23" s="133"/>
      <c r="E23" s="4" t="s">
        <v>17</v>
      </c>
      <c r="F23" s="5" t="s">
        <v>33</v>
      </c>
      <c r="G23" s="124"/>
      <c r="H23" s="124"/>
      <c r="I23" s="124"/>
      <c r="J23" s="124"/>
      <c r="K23" s="124"/>
      <c r="M23" s="22"/>
      <c r="N23" s="22"/>
      <c r="O23" s="22"/>
      <c r="P23" s="22"/>
      <c r="Q23" s="22"/>
    </row>
    <row r="24" spans="1:17">
      <c r="A24" s="127"/>
      <c r="B24" s="127"/>
      <c r="C24" s="127"/>
      <c r="D24" s="133"/>
      <c r="E24" s="4" t="s">
        <v>18</v>
      </c>
      <c r="F24" s="5" t="s">
        <v>33</v>
      </c>
      <c r="G24" s="129" t="s">
        <v>44</v>
      </c>
      <c r="H24" s="129"/>
      <c r="I24" s="129"/>
      <c r="J24" s="129"/>
      <c r="K24" s="129"/>
      <c r="M24" s="22"/>
      <c r="N24" s="22"/>
      <c r="O24" s="22"/>
      <c r="P24" s="22"/>
      <c r="Q24" s="22"/>
    </row>
    <row r="25" spans="1:17" ht="16.5" customHeight="1">
      <c r="A25" s="128"/>
      <c r="B25" s="128"/>
      <c r="C25" s="128"/>
      <c r="D25" s="134"/>
      <c r="E25" s="8"/>
      <c r="F25" s="8"/>
      <c r="G25" s="140"/>
      <c r="H25" s="140"/>
      <c r="I25" s="140"/>
      <c r="J25" s="140"/>
      <c r="K25" s="140"/>
      <c r="L25" s="8"/>
      <c r="M25" s="23"/>
      <c r="N25" s="23"/>
      <c r="O25" s="23"/>
      <c r="P25" s="23"/>
      <c r="Q25" s="23"/>
    </row>
    <row r="29" spans="1:17" ht="15" customHeight="1"/>
    <row r="31" spans="1:17" ht="15" customHeight="1"/>
  </sheetData>
  <mergeCells count="32">
    <mergeCell ref="M9:Q10"/>
    <mergeCell ref="M8:Q8"/>
    <mergeCell ref="M13:Q14"/>
    <mergeCell ref="M7:Q7"/>
    <mergeCell ref="G10:K12"/>
    <mergeCell ref="G13:L13"/>
    <mergeCell ref="G14:K15"/>
    <mergeCell ref="G7:L7"/>
    <mergeCell ref="M11:Q12"/>
    <mergeCell ref="M15:Q16"/>
    <mergeCell ref="E7:F7"/>
    <mergeCell ref="G19:L19"/>
    <mergeCell ref="G20:K21"/>
    <mergeCell ref="G22:K23"/>
    <mergeCell ref="G24:K25"/>
    <mergeCell ref="L8:L9"/>
    <mergeCell ref="L10:L11"/>
    <mergeCell ref="B8:D8"/>
    <mergeCell ref="A19:D19"/>
    <mergeCell ref="G8:K9"/>
    <mergeCell ref="B13:D13"/>
    <mergeCell ref="D20:D25"/>
    <mergeCell ref="B9:D9"/>
    <mergeCell ref="B10:D10"/>
    <mergeCell ref="B11:D11"/>
    <mergeCell ref="B12:D12"/>
    <mergeCell ref="M17:Q18"/>
    <mergeCell ref="M19:Q20"/>
    <mergeCell ref="M22:Q22"/>
    <mergeCell ref="A20:C25"/>
    <mergeCell ref="G16:K18"/>
    <mergeCell ref="L16:L17"/>
  </mergeCells>
  <dataValidations count="3">
    <dataValidation type="list" allowBlank="1" showInputMessage="1" showErrorMessage="1" sqref="F21:F24 F9:F11 F13:F14 F16:F19">
      <formula1>$E$1:$E$4</formula1>
    </dataValidation>
    <dataValidation type="list" allowBlank="1" showInputMessage="1" showErrorMessage="1" sqref="L8 L10">
      <formula1>$L$1:$L$4</formula1>
    </dataValidation>
    <dataValidation type="list" allowBlank="1" showInputMessage="1" showErrorMessage="1" sqref="D20:D25">
      <formula1>$L$1:$L$3</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3">
    <pageSetUpPr fitToPage="1"/>
  </sheetPr>
  <dimension ref="A1:R32"/>
  <sheetViews>
    <sheetView topLeftCell="A7" workbookViewId="0">
      <selection activeCell="H27" sqref="H27"/>
    </sheetView>
  </sheetViews>
  <sheetFormatPr defaultRowHeight="15"/>
  <cols>
    <col min="1" max="1" width="29.42578125" style="1" bestFit="1" customWidth="1"/>
    <col min="2" max="2" width="8.7109375" style="1" customWidth="1"/>
    <col min="3" max="3" width="9.85546875" style="1" customWidth="1"/>
    <col min="4" max="4" width="10.140625" style="1" customWidth="1"/>
    <col min="5" max="5" width="28.140625" style="1" customWidth="1"/>
    <col min="6" max="6" width="15.140625" style="1" customWidth="1"/>
    <col min="7" max="7" width="8.140625" style="1" customWidth="1"/>
    <col min="8" max="8" width="7.140625" style="1" customWidth="1"/>
    <col min="9" max="9" width="6.85546875" style="1" customWidth="1"/>
    <col min="10" max="10" width="6.5703125" style="1" customWidth="1"/>
    <col min="11" max="11" width="9.7109375" style="1" customWidth="1"/>
    <col min="12" max="12" width="18.140625" style="1" customWidth="1"/>
    <col min="13" max="16384" width="9.140625" style="1"/>
  </cols>
  <sheetData>
    <row r="1" spans="1:18">
      <c r="E1" s="1" t="s">
        <v>33</v>
      </c>
      <c r="L1" s="1" t="s">
        <v>22</v>
      </c>
    </row>
    <row r="2" spans="1:18">
      <c r="E2" s="1" t="s">
        <v>19</v>
      </c>
      <c r="L2" s="1" t="s">
        <v>24</v>
      </c>
    </row>
    <row r="3" spans="1:18">
      <c r="E3" s="1" t="s">
        <v>20</v>
      </c>
      <c r="L3" s="1" t="s">
        <v>25</v>
      </c>
    </row>
    <row r="4" spans="1:18">
      <c r="E4" s="1" t="s">
        <v>21</v>
      </c>
      <c r="L4" s="1" t="s">
        <v>34</v>
      </c>
    </row>
    <row r="7" spans="1:18">
      <c r="E7" s="137" t="s">
        <v>6</v>
      </c>
      <c r="F7" s="138"/>
      <c r="G7" s="143" t="s">
        <v>23</v>
      </c>
      <c r="H7" s="144"/>
      <c r="I7" s="144"/>
      <c r="J7" s="144"/>
      <c r="K7" s="144"/>
      <c r="L7" s="145"/>
      <c r="M7" s="125" t="s">
        <v>52</v>
      </c>
      <c r="N7" s="126"/>
      <c r="O7" s="126"/>
      <c r="P7" s="126"/>
      <c r="Q7" s="126"/>
    </row>
    <row r="8" spans="1:18">
      <c r="A8" s="6" t="s">
        <v>5</v>
      </c>
      <c r="B8" s="130"/>
      <c r="C8" s="130"/>
      <c r="D8" s="130"/>
      <c r="E8" s="4" t="s">
        <v>7</v>
      </c>
      <c r="F8" s="5" t="s">
        <v>33</v>
      </c>
      <c r="G8" s="124" t="s">
        <v>40</v>
      </c>
      <c r="H8" s="124"/>
      <c r="I8" s="124"/>
      <c r="J8" s="124"/>
      <c r="K8" s="124"/>
      <c r="L8" s="141" t="s">
        <v>22</v>
      </c>
      <c r="M8" s="124" t="s">
        <v>49</v>
      </c>
      <c r="N8" s="124"/>
      <c r="O8" s="124"/>
      <c r="P8" s="124"/>
      <c r="Q8" s="124"/>
      <c r="R8" s="1" t="s">
        <v>24</v>
      </c>
    </row>
    <row r="9" spans="1:18">
      <c r="A9" s="6" t="s">
        <v>28</v>
      </c>
      <c r="B9" s="135"/>
      <c r="C9" s="135"/>
      <c r="D9" s="135"/>
      <c r="E9" s="4" t="s">
        <v>8</v>
      </c>
      <c r="F9" s="5" t="s">
        <v>33</v>
      </c>
      <c r="G9" s="124"/>
      <c r="H9" s="124"/>
      <c r="I9" s="124"/>
      <c r="J9" s="124"/>
      <c r="K9" s="124"/>
      <c r="L9" s="141"/>
      <c r="M9" s="124" t="s">
        <v>50</v>
      </c>
      <c r="N9" s="124"/>
      <c r="O9" s="124"/>
      <c r="P9" s="124"/>
      <c r="Q9" s="124"/>
    </row>
    <row r="10" spans="1:18" ht="15" customHeight="1">
      <c r="A10" s="6" t="s">
        <v>2</v>
      </c>
      <c r="B10" s="136"/>
      <c r="C10" s="136"/>
      <c r="D10" s="136"/>
      <c r="E10" s="4" t="s">
        <v>35</v>
      </c>
      <c r="F10" s="5" t="s">
        <v>33</v>
      </c>
      <c r="G10" s="124" t="s">
        <v>41</v>
      </c>
      <c r="H10" s="124"/>
      <c r="I10" s="124"/>
      <c r="J10" s="124"/>
      <c r="K10" s="124"/>
      <c r="L10" s="141" t="s">
        <v>22</v>
      </c>
      <c r="M10" s="124"/>
      <c r="N10" s="124"/>
      <c r="O10" s="124"/>
      <c r="P10" s="124"/>
      <c r="Q10" s="124"/>
    </row>
    <row r="11" spans="1:18" ht="15" customHeight="1">
      <c r="A11" s="6" t="s">
        <v>1</v>
      </c>
      <c r="B11" s="136"/>
      <c r="C11" s="136"/>
      <c r="D11" s="136"/>
      <c r="E11" s="4" t="s">
        <v>9</v>
      </c>
      <c r="F11" s="5" t="s">
        <v>33</v>
      </c>
      <c r="G11" s="124"/>
      <c r="H11" s="124"/>
      <c r="I11" s="124"/>
      <c r="J11" s="124"/>
      <c r="K11" s="124"/>
      <c r="L11" s="141"/>
      <c r="M11" s="124" t="s">
        <v>51</v>
      </c>
      <c r="N11" s="124"/>
      <c r="O11" s="124"/>
      <c r="P11" s="124"/>
      <c r="Q11" s="124"/>
    </row>
    <row r="12" spans="1:18">
      <c r="A12" s="6" t="s">
        <v>0</v>
      </c>
      <c r="B12" s="136"/>
      <c r="C12" s="136"/>
      <c r="D12" s="136"/>
      <c r="E12" s="4" t="s">
        <v>10</v>
      </c>
      <c r="F12" s="5" t="s">
        <v>33</v>
      </c>
      <c r="G12" s="124"/>
      <c r="H12" s="124"/>
      <c r="I12" s="124"/>
      <c r="J12" s="124"/>
      <c r="K12" s="124"/>
      <c r="M12" s="124"/>
      <c r="N12" s="124"/>
      <c r="O12" s="124"/>
      <c r="P12" s="124"/>
      <c r="Q12" s="124"/>
    </row>
    <row r="13" spans="1:18" ht="15" customHeight="1">
      <c r="A13" s="6" t="s">
        <v>31</v>
      </c>
      <c r="B13" s="132"/>
      <c r="C13" s="132"/>
      <c r="D13" s="132"/>
      <c r="E13" s="4" t="s">
        <v>11</v>
      </c>
      <c r="F13" s="5" t="s">
        <v>33</v>
      </c>
      <c r="G13" s="139" t="s">
        <v>36</v>
      </c>
      <c r="H13" s="139"/>
      <c r="I13" s="139"/>
      <c r="J13" s="139"/>
      <c r="K13" s="139"/>
      <c r="L13" s="139"/>
      <c r="M13" s="142" t="s">
        <v>54</v>
      </c>
      <c r="N13" s="142"/>
      <c r="O13" s="142"/>
      <c r="P13" s="142"/>
      <c r="Q13" s="142"/>
    </row>
    <row r="14" spans="1:18">
      <c r="A14" s="3"/>
      <c r="B14" s="10">
        <v>2015</v>
      </c>
      <c r="C14" s="10">
        <v>2014</v>
      </c>
      <c r="D14" s="10">
        <v>2013</v>
      </c>
      <c r="E14" s="4" t="s">
        <v>12</v>
      </c>
      <c r="F14" s="5" t="s">
        <v>33</v>
      </c>
      <c r="G14" s="129" t="s">
        <v>38</v>
      </c>
      <c r="H14" s="129"/>
      <c r="I14" s="129"/>
      <c r="J14" s="129"/>
      <c r="K14" s="129"/>
      <c r="M14" s="142"/>
      <c r="N14" s="142"/>
      <c r="O14" s="142"/>
      <c r="P14" s="142"/>
      <c r="Q14" s="142"/>
    </row>
    <row r="15" spans="1:18" ht="15.75" customHeight="1">
      <c r="A15" s="7" t="s">
        <v>3</v>
      </c>
      <c r="B15" s="2"/>
      <c r="C15" s="9" t="s">
        <v>30</v>
      </c>
      <c r="D15" s="9" t="s">
        <v>30</v>
      </c>
      <c r="E15" s="4" t="s">
        <v>13</v>
      </c>
      <c r="F15" s="5" t="s">
        <v>33</v>
      </c>
      <c r="G15" s="129"/>
      <c r="H15" s="129"/>
      <c r="I15" s="129"/>
      <c r="J15" s="129"/>
      <c r="K15" s="129"/>
      <c r="M15" s="124" t="s">
        <v>55</v>
      </c>
      <c r="N15" s="124"/>
      <c r="O15" s="124"/>
      <c r="P15" s="124"/>
      <c r="Q15" s="124"/>
    </row>
    <row r="16" spans="1:18" ht="15.75" customHeight="1">
      <c r="A16" s="7" t="s">
        <v>4</v>
      </c>
      <c r="B16" s="2"/>
      <c r="C16" s="2"/>
      <c r="D16" s="2"/>
      <c r="E16" s="4" t="s">
        <v>14</v>
      </c>
      <c r="F16" s="5" t="s">
        <v>33</v>
      </c>
      <c r="G16" s="129" t="s">
        <v>39</v>
      </c>
      <c r="H16" s="129"/>
      <c r="I16" s="129"/>
      <c r="J16" s="129"/>
      <c r="K16" s="129"/>
      <c r="L16" s="129"/>
      <c r="M16" s="124"/>
      <c r="N16" s="124"/>
      <c r="O16" s="124"/>
      <c r="P16" s="124"/>
      <c r="Q16" s="124"/>
    </row>
    <row r="17" spans="1:17" ht="15.75">
      <c r="A17" s="7" t="s">
        <v>29</v>
      </c>
      <c r="B17" s="2"/>
      <c r="C17" s="2"/>
      <c r="D17" s="2"/>
      <c r="E17" s="4" t="s">
        <v>15</v>
      </c>
      <c r="F17" s="5" t="s">
        <v>33</v>
      </c>
      <c r="G17" s="129"/>
      <c r="H17" s="129"/>
      <c r="I17" s="129"/>
      <c r="J17" s="129"/>
      <c r="K17" s="129"/>
      <c r="L17" s="129"/>
      <c r="M17" s="124" t="s">
        <v>56</v>
      </c>
      <c r="N17" s="124"/>
      <c r="O17" s="124"/>
      <c r="P17" s="124"/>
      <c r="Q17" s="124"/>
    </row>
    <row r="18" spans="1:17" ht="15.75">
      <c r="A18" s="7"/>
      <c r="B18" s="3"/>
      <c r="C18" s="3"/>
      <c r="D18" s="3"/>
      <c r="E18" s="4" t="s">
        <v>16</v>
      </c>
      <c r="F18" s="5" t="s">
        <v>33</v>
      </c>
      <c r="G18" s="129"/>
      <c r="H18" s="129"/>
      <c r="I18" s="129"/>
      <c r="J18" s="129"/>
      <c r="K18" s="129"/>
      <c r="L18" s="11"/>
      <c r="M18" s="124"/>
      <c r="N18" s="124"/>
      <c r="O18" s="124"/>
      <c r="P18" s="124"/>
      <c r="Q18" s="124"/>
    </row>
    <row r="19" spans="1:17">
      <c r="A19" s="131" t="s">
        <v>27</v>
      </c>
      <c r="B19" s="131"/>
      <c r="C19" s="131"/>
      <c r="D19" s="131"/>
      <c r="E19" s="4" t="s">
        <v>17</v>
      </c>
      <c r="F19" s="5" t="s">
        <v>33</v>
      </c>
      <c r="G19" s="139" t="s">
        <v>37</v>
      </c>
      <c r="H19" s="139"/>
      <c r="I19" s="139"/>
      <c r="J19" s="139"/>
      <c r="K19" s="139"/>
      <c r="L19" s="139"/>
      <c r="M19" s="124" t="s">
        <v>57</v>
      </c>
      <c r="N19" s="124"/>
      <c r="O19" s="124"/>
      <c r="P19" s="124"/>
      <c r="Q19" s="124"/>
    </row>
    <row r="20" spans="1:17" ht="15" customHeight="1">
      <c r="A20" s="127" t="s">
        <v>32</v>
      </c>
      <c r="B20" s="127"/>
      <c r="C20" s="127"/>
      <c r="D20" s="12" t="s">
        <v>22</v>
      </c>
      <c r="E20" s="4" t="s">
        <v>18</v>
      </c>
      <c r="F20" s="5" t="s">
        <v>33</v>
      </c>
      <c r="G20" s="124" t="s">
        <v>42</v>
      </c>
      <c r="H20" s="124"/>
      <c r="I20" s="124"/>
      <c r="J20" s="124"/>
      <c r="K20" s="124"/>
      <c r="M20" s="124"/>
      <c r="N20" s="124"/>
      <c r="O20" s="124"/>
      <c r="P20" s="124"/>
      <c r="Q20" s="124"/>
    </row>
    <row r="21" spans="1:17">
      <c r="A21" s="127"/>
      <c r="B21" s="127"/>
      <c r="C21" s="127"/>
      <c r="D21" s="12"/>
      <c r="G21" s="124"/>
      <c r="H21" s="124"/>
      <c r="I21" s="124"/>
      <c r="J21" s="124"/>
      <c r="K21" s="124"/>
      <c r="M21" s="1" t="s">
        <v>58</v>
      </c>
    </row>
    <row r="22" spans="1:17" ht="15" customHeight="1">
      <c r="A22" s="127"/>
      <c r="B22" s="127"/>
      <c r="C22" s="127"/>
      <c r="D22" s="12"/>
      <c r="G22" s="146" t="s">
        <v>43</v>
      </c>
      <c r="H22" s="146"/>
      <c r="I22" s="146"/>
      <c r="J22" s="146"/>
      <c r="K22" s="146"/>
    </row>
    <row r="23" spans="1:17" ht="16.5" customHeight="1">
      <c r="A23" s="20" t="s">
        <v>53</v>
      </c>
      <c r="B23" s="17"/>
      <c r="C23" s="17"/>
      <c r="D23" s="18"/>
      <c r="E23" s="19"/>
      <c r="F23" s="19"/>
      <c r="G23" s="146"/>
      <c r="H23" s="146"/>
      <c r="I23" s="146"/>
      <c r="J23" s="146"/>
      <c r="K23" s="146"/>
    </row>
    <row r="24" spans="1:17">
      <c r="A24" s="127"/>
      <c r="B24" s="127"/>
      <c r="C24" s="127"/>
      <c r="D24" s="127"/>
      <c r="E24" s="127"/>
      <c r="F24" s="127"/>
      <c r="G24" s="146"/>
      <c r="H24" s="146"/>
      <c r="I24" s="146"/>
      <c r="J24" s="146"/>
      <c r="K24" s="146"/>
    </row>
    <row r="25" spans="1:17">
      <c r="A25" s="127"/>
      <c r="B25" s="127"/>
      <c r="C25" s="127"/>
      <c r="D25" s="127"/>
      <c r="E25" s="127"/>
      <c r="F25" s="127"/>
      <c r="G25" s="129" t="s">
        <v>44</v>
      </c>
      <c r="H25" s="129"/>
      <c r="I25" s="129"/>
      <c r="J25" s="129"/>
      <c r="K25" s="129"/>
    </row>
    <row r="26" spans="1:17" ht="16.5" customHeight="1">
      <c r="A26" s="128"/>
      <c r="B26" s="128"/>
      <c r="C26" s="128"/>
      <c r="D26" s="128"/>
      <c r="E26" s="128"/>
      <c r="F26" s="128"/>
      <c r="G26" s="140"/>
      <c r="H26" s="140"/>
      <c r="I26" s="140"/>
      <c r="J26" s="140"/>
      <c r="K26" s="140"/>
      <c r="L26" s="8"/>
    </row>
    <row r="30" spans="1:17" ht="15" customHeight="1"/>
    <row r="32" spans="1:17" ht="15" customHeight="1"/>
  </sheetData>
  <mergeCells count="31">
    <mergeCell ref="M7:Q7"/>
    <mergeCell ref="B8:D8"/>
    <mergeCell ref="G8:K9"/>
    <mergeCell ref="L8:L9"/>
    <mergeCell ref="M8:Q8"/>
    <mergeCell ref="B9:D9"/>
    <mergeCell ref="M9:Q10"/>
    <mergeCell ref="B10:D10"/>
    <mergeCell ref="B11:D11"/>
    <mergeCell ref="B12:D12"/>
    <mergeCell ref="B13:D13"/>
    <mergeCell ref="G13:L13"/>
    <mergeCell ref="E7:F7"/>
    <mergeCell ref="G7:L7"/>
    <mergeCell ref="G25:K26"/>
    <mergeCell ref="A20:C22"/>
    <mergeCell ref="G22:K24"/>
    <mergeCell ref="A24:F26"/>
    <mergeCell ref="M13:Q14"/>
    <mergeCell ref="G14:K15"/>
    <mergeCell ref="G16:K18"/>
    <mergeCell ref="L16:L17"/>
    <mergeCell ref="A19:D19"/>
    <mergeCell ref="G19:L19"/>
    <mergeCell ref="M11:Q12"/>
    <mergeCell ref="M15:Q16"/>
    <mergeCell ref="M17:Q18"/>
    <mergeCell ref="M19:Q20"/>
    <mergeCell ref="G20:K21"/>
    <mergeCell ref="G10:K12"/>
    <mergeCell ref="L10:L11"/>
  </mergeCells>
  <dataValidations count="3">
    <dataValidation type="list" allowBlank="1" showInputMessage="1" showErrorMessage="1" sqref="F8:F20">
      <formula1>$E$1:$E$4</formula1>
    </dataValidation>
    <dataValidation type="list" allowBlank="1" showInputMessage="1" showErrorMessage="1" sqref="D20:D23">
      <formula1>$L$1:$L$3</formula1>
    </dataValidation>
    <dataValidation type="list" allowBlank="1" showInputMessage="1" showErrorMessage="1" sqref="L8 L10">
      <formula1>$L$1:$L$4</formula1>
    </dataValidation>
  </dataValidations>
  <pageMargins left="0.7" right="0.7" top="0.75" bottom="0.75" header="0.3" footer="0.3"/>
  <pageSetup scale="42" fitToHeight="0" orientation="portrait" r:id="rId1"/>
  <drawing r:id="rId2"/>
</worksheet>
</file>

<file path=xl/worksheets/sheet3.xml><?xml version="1.0" encoding="utf-8"?>
<worksheet xmlns="http://schemas.openxmlformats.org/spreadsheetml/2006/main" xmlns:r="http://schemas.openxmlformats.org/officeDocument/2006/relationships">
  <sheetPr codeName="Sheet4">
    <pageSetUpPr fitToPage="1"/>
  </sheetPr>
  <dimension ref="A1:R32"/>
  <sheetViews>
    <sheetView topLeftCell="A7" workbookViewId="0">
      <selection activeCell="H27" sqref="H27"/>
    </sheetView>
  </sheetViews>
  <sheetFormatPr defaultRowHeight="15"/>
  <cols>
    <col min="1" max="1" width="29.42578125" style="1" bestFit="1" customWidth="1"/>
    <col min="2" max="2" width="8.7109375" style="1" customWidth="1"/>
    <col min="3" max="3" width="9.85546875" style="1" customWidth="1"/>
    <col min="4" max="4" width="10.140625" style="1" customWidth="1"/>
    <col min="5" max="5" width="28.140625" style="1" customWidth="1"/>
    <col min="6" max="6" width="15.140625" style="1" customWidth="1"/>
    <col min="7" max="7" width="8.140625" style="1" customWidth="1"/>
    <col min="8" max="8" width="7.140625" style="1" customWidth="1"/>
    <col min="9" max="9" width="6.85546875" style="1" customWidth="1"/>
    <col min="10" max="10" width="6.5703125" style="1" customWidth="1"/>
    <col min="11" max="11" width="9.7109375" style="1" customWidth="1"/>
    <col min="12" max="12" width="18.140625" style="1" customWidth="1"/>
    <col min="13" max="16384" width="9.140625" style="1"/>
  </cols>
  <sheetData>
    <row r="1" spans="1:18">
      <c r="E1" s="1" t="s">
        <v>33</v>
      </c>
      <c r="L1" s="1" t="s">
        <v>22</v>
      </c>
    </row>
    <row r="2" spans="1:18">
      <c r="E2" s="1" t="s">
        <v>19</v>
      </c>
      <c r="L2" s="1" t="s">
        <v>24</v>
      </c>
    </row>
    <row r="3" spans="1:18">
      <c r="E3" s="1" t="s">
        <v>20</v>
      </c>
      <c r="L3" s="1" t="s">
        <v>25</v>
      </c>
    </row>
    <row r="4" spans="1:18">
      <c r="E4" s="1" t="s">
        <v>21</v>
      </c>
      <c r="L4" s="1" t="s">
        <v>34</v>
      </c>
    </row>
    <row r="7" spans="1:18">
      <c r="E7" s="137" t="s">
        <v>6</v>
      </c>
      <c r="F7" s="138"/>
      <c r="G7" s="143" t="s">
        <v>23</v>
      </c>
      <c r="H7" s="144"/>
      <c r="I7" s="144"/>
      <c r="J7" s="144"/>
      <c r="K7" s="144"/>
      <c r="L7" s="145"/>
      <c r="M7" s="125" t="s">
        <v>52</v>
      </c>
      <c r="N7" s="126"/>
      <c r="O7" s="126"/>
      <c r="P7" s="126"/>
      <c r="Q7" s="126"/>
    </row>
    <row r="8" spans="1:18">
      <c r="A8" s="6" t="s">
        <v>5</v>
      </c>
      <c r="B8" s="130"/>
      <c r="C8" s="130"/>
      <c r="D8" s="130"/>
      <c r="E8" s="4" t="s">
        <v>7</v>
      </c>
      <c r="F8" s="5" t="s">
        <v>33</v>
      </c>
      <c r="G8" s="124" t="s">
        <v>40</v>
      </c>
      <c r="H8" s="124"/>
      <c r="I8" s="124"/>
      <c r="J8" s="124"/>
      <c r="K8" s="124"/>
      <c r="L8" s="141" t="s">
        <v>22</v>
      </c>
      <c r="M8" s="124" t="s">
        <v>49</v>
      </c>
      <c r="N8" s="124"/>
      <c r="O8" s="124"/>
      <c r="P8" s="124"/>
      <c r="Q8" s="124"/>
      <c r="R8" s="1" t="s">
        <v>24</v>
      </c>
    </row>
    <row r="9" spans="1:18">
      <c r="A9" s="6" t="s">
        <v>28</v>
      </c>
      <c r="B9" s="135"/>
      <c r="C9" s="135"/>
      <c r="D9" s="135"/>
      <c r="E9" s="4" t="s">
        <v>8</v>
      </c>
      <c r="F9" s="5" t="s">
        <v>33</v>
      </c>
      <c r="G9" s="124"/>
      <c r="H9" s="124"/>
      <c r="I9" s="124"/>
      <c r="J9" s="124"/>
      <c r="K9" s="124"/>
      <c r="L9" s="141"/>
      <c r="M9" s="124" t="s">
        <v>50</v>
      </c>
      <c r="N9" s="124"/>
      <c r="O9" s="124"/>
      <c r="P9" s="124"/>
      <c r="Q9" s="124"/>
    </row>
    <row r="10" spans="1:18" ht="15" customHeight="1">
      <c r="A10" s="6" t="s">
        <v>2</v>
      </c>
      <c r="B10" s="136"/>
      <c r="C10" s="136"/>
      <c r="D10" s="136"/>
      <c r="E10" s="4" t="s">
        <v>35</v>
      </c>
      <c r="F10" s="5" t="s">
        <v>33</v>
      </c>
      <c r="G10" s="124" t="s">
        <v>41</v>
      </c>
      <c r="H10" s="124"/>
      <c r="I10" s="124"/>
      <c r="J10" s="124"/>
      <c r="K10" s="124"/>
      <c r="L10" s="141" t="s">
        <v>22</v>
      </c>
      <c r="M10" s="124"/>
      <c r="N10" s="124"/>
      <c r="O10" s="124"/>
      <c r="P10" s="124"/>
      <c r="Q10" s="124"/>
    </row>
    <row r="11" spans="1:18" ht="15" customHeight="1">
      <c r="A11" s="6" t="s">
        <v>1</v>
      </c>
      <c r="B11" s="136"/>
      <c r="C11" s="136"/>
      <c r="D11" s="136"/>
      <c r="E11" s="4" t="s">
        <v>9</v>
      </c>
      <c r="F11" s="5" t="s">
        <v>33</v>
      </c>
      <c r="G11" s="124"/>
      <c r="H11" s="124"/>
      <c r="I11" s="124"/>
      <c r="J11" s="124"/>
      <c r="K11" s="124"/>
      <c r="L11" s="141"/>
      <c r="M11" s="124" t="s">
        <v>51</v>
      </c>
      <c r="N11" s="124"/>
      <c r="O11" s="124"/>
      <c r="P11" s="124"/>
      <c r="Q11" s="124"/>
    </row>
    <row r="12" spans="1:18">
      <c r="A12" s="6" t="s">
        <v>0</v>
      </c>
      <c r="B12" s="136"/>
      <c r="C12" s="136"/>
      <c r="D12" s="136"/>
      <c r="E12" s="4" t="s">
        <v>10</v>
      </c>
      <c r="F12" s="5" t="s">
        <v>33</v>
      </c>
      <c r="G12" s="124"/>
      <c r="H12" s="124"/>
      <c r="I12" s="124"/>
      <c r="J12" s="124"/>
      <c r="K12" s="124"/>
      <c r="M12" s="124"/>
      <c r="N12" s="124"/>
      <c r="O12" s="124"/>
      <c r="P12" s="124"/>
      <c r="Q12" s="124"/>
    </row>
    <row r="13" spans="1:18" ht="15" customHeight="1">
      <c r="A13" s="6" t="s">
        <v>31</v>
      </c>
      <c r="B13" s="132"/>
      <c r="C13" s="132"/>
      <c r="D13" s="132"/>
      <c r="E13" s="4" t="s">
        <v>11</v>
      </c>
      <c r="F13" s="5" t="s">
        <v>33</v>
      </c>
      <c r="G13" s="139" t="s">
        <v>36</v>
      </c>
      <c r="H13" s="139"/>
      <c r="I13" s="139"/>
      <c r="J13" s="139"/>
      <c r="K13" s="139"/>
      <c r="L13" s="139"/>
      <c r="M13" s="142" t="s">
        <v>54</v>
      </c>
      <c r="N13" s="142"/>
      <c r="O13" s="142"/>
      <c r="P13" s="142"/>
      <c r="Q13" s="142"/>
    </row>
    <row r="14" spans="1:18">
      <c r="A14" s="3"/>
      <c r="B14" s="10">
        <v>2015</v>
      </c>
      <c r="C14" s="10">
        <v>2014</v>
      </c>
      <c r="D14" s="10">
        <v>2013</v>
      </c>
      <c r="E14" s="4" t="s">
        <v>12</v>
      </c>
      <c r="F14" s="5" t="s">
        <v>33</v>
      </c>
      <c r="G14" s="129" t="s">
        <v>38</v>
      </c>
      <c r="H14" s="129"/>
      <c r="I14" s="129"/>
      <c r="J14" s="129"/>
      <c r="K14" s="129"/>
      <c r="M14" s="142"/>
      <c r="N14" s="142"/>
      <c r="O14" s="142"/>
      <c r="P14" s="142"/>
      <c r="Q14" s="142"/>
    </row>
    <row r="15" spans="1:18" ht="15.75" customHeight="1">
      <c r="A15" s="7" t="s">
        <v>3</v>
      </c>
      <c r="B15" s="2"/>
      <c r="C15" s="9" t="s">
        <v>30</v>
      </c>
      <c r="D15" s="9" t="s">
        <v>30</v>
      </c>
      <c r="E15" s="4" t="s">
        <v>13</v>
      </c>
      <c r="F15" s="5" t="s">
        <v>33</v>
      </c>
      <c r="G15" s="129"/>
      <c r="H15" s="129"/>
      <c r="I15" s="129"/>
      <c r="J15" s="129"/>
      <c r="K15" s="129"/>
      <c r="M15" s="124" t="s">
        <v>55</v>
      </c>
      <c r="N15" s="124"/>
      <c r="O15" s="124"/>
      <c r="P15" s="124"/>
      <c r="Q15" s="124"/>
    </row>
    <row r="16" spans="1:18" ht="15.75" customHeight="1">
      <c r="A16" s="7" t="s">
        <v>4</v>
      </c>
      <c r="B16" s="2"/>
      <c r="C16" s="2"/>
      <c r="D16" s="2"/>
      <c r="E16" s="4" t="s">
        <v>14</v>
      </c>
      <c r="F16" s="5" t="s">
        <v>33</v>
      </c>
      <c r="G16" s="129" t="s">
        <v>39</v>
      </c>
      <c r="H16" s="129"/>
      <c r="I16" s="129"/>
      <c r="J16" s="129"/>
      <c r="K16" s="129"/>
      <c r="L16" s="129"/>
      <c r="M16" s="124"/>
      <c r="N16" s="124"/>
      <c r="O16" s="124"/>
      <c r="P16" s="124"/>
      <c r="Q16" s="124"/>
    </row>
    <row r="17" spans="1:17" ht="15.75">
      <c r="A17" s="7" t="s">
        <v>29</v>
      </c>
      <c r="B17" s="2"/>
      <c r="C17" s="2"/>
      <c r="D17" s="2"/>
      <c r="E17" s="4" t="s">
        <v>15</v>
      </c>
      <c r="F17" s="5" t="s">
        <v>33</v>
      </c>
      <c r="G17" s="129"/>
      <c r="H17" s="129"/>
      <c r="I17" s="129"/>
      <c r="J17" s="129"/>
      <c r="K17" s="129"/>
      <c r="L17" s="129"/>
      <c r="M17" s="124" t="s">
        <v>56</v>
      </c>
      <c r="N17" s="124"/>
      <c r="O17" s="124"/>
      <c r="P17" s="124"/>
      <c r="Q17" s="124"/>
    </row>
    <row r="18" spans="1:17" ht="15.75">
      <c r="A18" s="7"/>
      <c r="B18" s="3"/>
      <c r="C18" s="3"/>
      <c r="D18" s="3"/>
      <c r="E18" s="4" t="s">
        <v>16</v>
      </c>
      <c r="F18" s="5" t="s">
        <v>33</v>
      </c>
      <c r="G18" s="129"/>
      <c r="H18" s="129"/>
      <c r="I18" s="129"/>
      <c r="J18" s="129"/>
      <c r="K18" s="129"/>
      <c r="L18" s="11"/>
      <c r="M18" s="124"/>
      <c r="N18" s="124"/>
      <c r="O18" s="124"/>
      <c r="P18" s="124"/>
      <c r="Q18" s="124"/>
    </row>
    <row r="19" spans="1:17">
      <c r="A19" s="131" t="s">
        <v>27</v>
      </c>
      <c r="B19" s="131"/>
      <c r="C19" s="131"/>
      <c r="D19" s="131"/>
      <c r="E19" s="4" t="s">
        <v>17</v>
      </c>
      <c r="F19" s="5" t="s">
        <v>33</v>
      </c>
      <c r="G19" s="139" t="s">
        <v>37</v>
      </c>
      <c r="H19" s="139"/>
      <c r="I19" s="139"/>
      <c r="J19" s="139"/>
      <c r="K19" s="139"/>
      <c r="L19" s="139"/>
      <c r="M19" s="124" t="s">
        <v>57</v>
      </c>
      <c r="N19" s="124"/>
      <c r="O19" s="124"/>
      <c r="P19" s="124"/>
      <c r="Q19" s="124"/>
    </row>
    <row r="20" spans="1:17" ht="15" customHeight="1">
      <c r="A20" s="127" t="s">
        <v>32</v>
      </c>
      <c r="B20" s="127"/>
      <c r="C20" s="127"/>
      <c r="D20" s="12" t="s">
        <v>22</v>
      </c>
      <c r="E20" s="4" t="s">
        <v>18</v>
      </c>
      <c r="F20" s="5" t="s">
        <v>33</v>
      </c>
      <c r="G20" s="124" t="s">
        <v>42</v>
      </c>
      <c r="H20" s="124"/>
      <c r="I20" s="124"/>
      <c r="J20" s="124"/>
      <c r="K20" s="124"/>
      <c r="M20" s="124"/>
      <c r="N20" s="124"/>
      <c r="O20" s="124"/>
      <c r="P20" s="124"/>
      <c r="Q20" s="124"/>
    </row>
    <row r="21" spans="1:17">
      <c r="A21" s="127"/>
      <c r="B21" s="127"/>
      <c r="C21" s="127"/>
      <c r="D21" s="12"/>
      <c r="G21" s="124"/>
      <c r="H21" s="124"/>
      <c r="I21" s="124"/>
      <c r="J21" s="124"/>
      <c r="K21" s="124"/>
      <c r="M21" s="1" t="s">
        <v>58</v>
      </c>
    </row>
    <row r="22" spans="1:17" ht="15" customHeight="1">
      <c r="A22" s="127"/>
      <c r="B22" s="127"/>
      <c r="C22" s="127"/>
      <c r="D22" s="12"/>
      <c r="G22" s="146" t="s">
        <v>43</v>
      </c>
      <c r="H22" s="146"/>
      <c r="I22" s="146"/>
      <c r="J22" s="146"/>
      <c r="K22" s="146"/>
    </row>
    <row r="23" spans="1:17" ht="16.5" customHeight="1">
      <c r="A23" s="20" t="s">
        <v>53</v>
      </c>
      <c r="B23" s="17"/>
      <c r="C23" s="17"/>
      <c r="D23" s="18"/>
      <c r="E23" s="19"/>
      <c r="F23" s="19"/>
      <c r="G23" s="146"/>
      <c r="H23" s="146"/>
      <c r="I23" s="146"/>
      <c r="J23" s="146"/>
      <c r="K23" s="146"/>
    </row>
    <row r="24" spans="1:17">
      <c r="A24" s="127"/>
      <c r="B24" s="127"/>
      <c r="C24" s="127"/>
      <c r="D24" s="127"/>
      <c r="E24" s="127"/>
      <c r="F24" s="127"/>
      <c r="G24" s="146"/>
      <c r="H24" s="146"/>
      <c r="I24" s="146"/>
      <c r="J24" s="146"/>
      <c r="K24" s="146"/>
    </row>
    <row r="25" spans="1:17">
      <c r="A25" s="127"/>
      <c r="B25" s="127"/>
      <c r="C25" s="127"/>
      <c r="D25" s="127"/>
      <c r="E25" s="127"/>
      <c r="F25" s="127"/>
      <c r="G25" s="129" t="s">
        <v>44</v>
      </c>
      <c r="H25" s="129"/>
      <c r="I25" s="129"/>
      <c r="J25" s="129"/>
      <c r="K25" s="129"/>
    </row>
    <row r="26" spans="1:17" ht="16.5" customHeight="1">
      <c r="A26" s="128"/>
      <c r="B26" s="128"/>
      <c r="C26" s="128"/>
      <c r="D26" s="128"/>
      <c r="E26" s="128"/>
      <c r="F26" s="128"/>
      <c r="G26" s="140"/>
      <c r="H26" s="140"/>
      <c r="I26" s="140"/>
      <c r="J26" s="140"/>
      <c r="K26" s="140"/>
      <c r="L26" s="8"/>
    </row>
    <row r="30" spans="1:17" ht="15" customHeight="1"/>
    <row r="32" spans="1:17" ht="15" customHeight="1"/>
  </sheetData>
  <mergeCells count="31">
    <mergeCell ref="E7:F7"/>
    <mergeCell ref="G7:L7"/>
    <mergeCell ref="M7:Q7"/>
    <mergeCell ref="B8:D8"/>
    <mergeCell ref="G8:K9"/>
    <mergeCell ref="L8:L9"/>
    <mergeCell ref="M8:Q8"/>
    <mergeCell ref="B9:D9"/>
    <mergeCell ref="M9:Q10"/>
    <mergeCell ref="B10:D10"/>
    <mergeCell ref="G10:K12"/>
    <mergeCell ref="L10:L11"/>
    <mergeCell ref="B11:D11"/>
    <mergeCell ref="M11:Q12"/>
    <mergeCell ref="B12:D12"/>
    <mergeCell ref="B13:D13"/>
    <mergeCell ref="G13:L13"/>
    <mergeCell ref="M13:Q14"/>
    <mergeCell ref="G14:K15"/>
    <mergeCell ref="M15:Q16"/>
    <mergeCell ref="G25:K26"/>
    <mergeCell ref="G16:K18"/>
    <mergeCell ref="L16:L17"/>
    <mergeCell ref="M17:Q18"/>
    <mergeCell ref="A19:D19"/>
    <mergeCell ref="G19:L19"/>
    <mergeCell ref="M19:Q20"/>
    <mergeCell ref="A20:C22"/>
    <mergeCell ref="G20:K21"/>
    <mergeCell ref="G22:K24"/>
    <mergeCell ref="A24:F26"/>
  </mergeCells>
  <dataValidations count="3">
    <dataValidation type="list" allowBlank="1" showInputMessage="1" showErrorMessage="1" sqref="L8 L10">
      <formula1>$L$1:$L$4</formula1>
    </dataValidation>
    <dataValidation type="list" allowBlank="1" showInputMessage="1" showErrorMessage="1" sqref="D20:D23">
      <formula1>$L$1:$L$3</formula1>
    </dataValidation>
    <dataValidation type="list" allowBlank="1" showInputMessage="1" showErrorMessage="1" sqref="F8:F20">
      <formula1>$E$1:$E$4</formula1>
    </dataValidation>
  </dataValidations>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sheetPr codeName="Sheet5"/>
  <dimension ref="A1:Q34"/>
  <sheetViews>
    <sheetView topLeftCell="A13" workbookViewId="0">
      <selection activeCell="H27" sqref="H27"/>
    </sheetView>
  </sheetViews>
  <sheetFormatPr defaultRowHeight="15"/>
  <cols>
    <col min="1" max="1" width="29.42578125" style="1" bestFit="1" customWidth="1"/>
    <col min="2" max="2" width="8.7109375" style="1" customWidth="1"/>
    <col min="3" max="3" width="9.85546875" style="1" customWidth="1"/>
    <col min="4" max="4" width="10.140625" style="1" customWidth="1"/>
    <col min="5" max="5" width="36.140625" style="1" customWidth="1"/>
    <col min="6" max="6" width="15.140625" style="1" customWidth="1"/>
    <col min="7" max="7" width="8.140625" style="1" customWidth="1"/>
    <col min="8" max="8" width="7.140625" style="1" customWidth="1"/>
    <col min="9" max="9" width="6.85546875" style="1" customWidth="1"/>
    <col min="10" max="10" width="6.5703125" style="1" customWidth="1"/>
    <col min="11" max="11" width="11.42578125" style="1" customWidth="1"/>
    <col min="12" max="12" width="18.140625" style="1" customWidth="1"/>
    <col min="13" max="16384" width="9.140625" style="1"/>
  </cols>
  <sheetData>
    <row r="1" spans="1:17">
      <c r="E1" s="1" t="s">
        <v>33</v>
      </c>
      <c r="L1" s="1" t="s">
        <v>22</v>
      </c>
    </row>
    <row r="2" spans="1:17">
      <c r="E2" s="1" t="s">
        <v>19</v>
      </c>
      <c r="L2" s="1" t="s">
        <v>24</v>
      </c>
    </row>
    <row r="3" spans="1:17">
      <c r="E3" s="1" t="s">
        <v>20</v>
      </c>
      <c r="L3" s="1" t="s">
        <v>25</v>
      </c>
    </row>
    <row r="4" spans="1:17">
      <c r="E4" s="1" t="s">
        <v>21</v>
      </c>
      <c r="L4" s="1" t="s">
        <v>34</v>
      </c>
    </row>
    <row r="7" spans="1:17">
      <c r="E7" s="137" t="s">
        <v>6</v>
      </c>
      <c r="F7" s="138"/>
      <c r="G7" s="139" t="s">
        <v>36</v>
      </c>
      <c r="H7" s="139"/>
      <c r="I7" s="139"/>
      <c r="J7" s="139"/>
      <c r="K7" s="139"/>
      <c r="L7" s="139"/>
      <c r="M7" s="125" t="s">
        <v>61</v>
      </c>
      <c r="N7" s="126"/>
      <c r="O7" s="126"/>
      <c r="P7" s="126"/>
      <c r="Q7" s="126"/>
    </row>
    <row r="8" spans="1:17" ht="15.75" customHeight="1">
      <c r="A8" s="6" t="s">
        <v>5</v>
      </c>
      <c r="B8" s="130"/>
      <c r="C8" s="130"/>
      <c r="D8" s="130"/>
      <c r="E8" s="4" t="s">
        <v>7</v>
      </c>
      <c r="F8" s="5" t="s">
        <v>33</v>
      </c>
      <c r="G8" s="124" t="s">
        <v>42</v>
      </c>
      <c r="H8" s="124"/>
      <c r="I8" s="124"/>
      <c r="J8" s="124"/>
      <c r="K8" s="124"/>
      <c r="L8" s="141" t="s">
        <v>22</v>
      </c>
      <c r="M8" s="148"/>
      <c r="N8" s="148"/>
      <c r="O8" s="148"/>
      <c r="P8" s="148"/>
      <c r="Q8" s="148"/>
    </row>
    <row r="9" spans="1:17" ht="15" customHeight="1">
      <c r="A9" s="6" t="s">
        <v>28</v>
      </c>
      <c r="B9" s="135"/>
      <c r="C9" s="135"/>
      <c r="D9" s="135"/>
      <c r="E9" s="4" t="s">
        <v>8</v>
      </c>
      <c r="F9" s="5" t="s">
        <v>33</v>
      </c>
      <c r="G9" s="124"/>
      <c r="H9" s="124"/>
      <c r="I9" s="124"/>
      <c r="J9" s="124"/>
      <c r="K9" s="124"/>
      <c r="L9" s="141"/>
      <c r="M9" s="148"/>
      <c r="N9" s="148"/>
      <c r="O9" s="148"/>
      <c r="P9" s="148"/>
      <c r="Q9" s="148"/>
    </row>
    <row r="10" spans="1:17" ht="15" customHeight="1">
      <c r="A10" s="6" t="s">
        <v>2</v>
      </c>
      <c r="B10" s="136"/>
      <c r="C10" s="136"/>
      <c r="D10" s="136"/>
      <c r="E10" s="4" t="s">
        <v>35</v>
      </c>
      <c r="F10" s="5" t="s">
        <v>33</v>
      </c>
      <c r="G10" s="127" t="s">
        <v>43</v>
      </c>
      <c r="H10" s="127"/>
      <c r="I10" s="127"/>
      <c r="J10" s="127"/>
      <c r="K10" s="127"/>
      <c r="L10" s="141" t="s">
        <v>22</v>
      </c>
      <c r="M10" s="148"/>
      <c r="N10" s="148"/>
      <c r="O10" s="148"/>
      <c r="P10" s="148"/>
      <c r="Q10" s="148"/>
    </row>
    <row r="11" spans="1:17" ht="15" customHeight="1">
      <c r="A11" s="6" t="s">
        <v>1</v>
      </c>
      <c r="B11" s="136"/>
      <c r="C11" s="136"/>
      <c r="D11" s="136"/>
      <c r="E11" s="4" t="s">
        <v>9</v>
      </c>
      <c r="F11" s="5" t="s">
        <v>33</v>
      </c>
      <c r="G11" s="127"/>
      <c r="H11" s="127"/>
      <c r="I11" s="127"/>
      <c r="J11" s="127"/>
      <c r="K11" s="127"/>
      <c r="L11" s="141"/>
      <c r="M11" s="148"/>
      <c r="N11" s="148"/>
      <c r="O11" s="148"/>
      <c r="P11" s="148"/>
      <c r="Q11" s="148"/>
    </row>
    <row r="12" spans="1:17">
      <c r="A12" s="6" t="s">
        <v>0</v>
      </c>
      <c r="B12" s="136"/>
      <c r="C12" s="136"/>
      <c r="D12" s="136"/>
      <c r="E12" s="4" t="s">
        <v>10</v>
      </c>
      <c r="F12" s="5" t="s">
        <v>33</v>
      </c>
      <c r="G12" s="124" t="s">
        <v>44</v>
      </c>
      <c r="H12" s="124"/>
      <c r="I12" s="124"/>
      <c r="J12" s="124"/>
      <c r="K12" s="124"/>
      <c r="M12" s="148"/>
      <c r="N12" s="148"/>
      <c r="O12" s="148"/>
      <c r="P12" s="148"/>
      <c r="Q12" s="148"/>
    </row>
    <row r="13" spans="1:17" ht="15" customHeight="1">
      <c r="A13" s="6" t="s">
        <v>31</v>
      </c>
      <c r="B13" s="132"/>
      <c r="C13" s="132"/>
      <c r="D13" s="132"/>
      <c r="E13" s="21" t="s">
        <v>62</v>
      </c>
      <c r="G13" s="124"/>
      <c r="H13" s="124"/>
      <c r="I13" s="124"/>
      <c r="J13" s="124"/>
      <c r="K13" s="124"/>
      <c r="M13" s="147"/>
      <c r="N13" s="147"/>
      <c r="O13" s="147"/>
      <c r="P13" s="147"/>
      <c r="Q13" s="147"/>
    </row>
    <row r="14" spans="1:17" ht="15" customHeight="1">
      <c r="A14" s="3"/>
      <c r="B14" s="10">
        <v>2015</v>
      </c>
      <c r="C14" s="10">
        <v>2014</v>
      </c>
      <c r="D14" s="10">
        <v>2013</v>
      </c>
      <c r="E14" s="4" t="s">
        <v>11</v>
      </c>
      <c r="F14" s="5" t="s">
        <v>33</v>
      </c>
      <c r="G14" s="139" t="s">
        <v>60</v>
      </c>
      <c r="H14" s="139"/>
      <c r="I14" s="139"/>
      <c r="J14" s="139"/>
      <c r="K14" s="139"/>
      <c r="L14" s="139"/>
      <c r="M14" s="147"/>
      <c r="N14" s="147"/>
      <c r="O14" s="147"/>
      <c r="P14" s="147"/>
      <c r="Q14" s="147"/>
    </row>
    <row r="15" spans="1:17" ht="15.75" customHeight="1">
      <c r="A15" s="7" t="s">
        <v>3</v>
      </c>
      <c r="B15" s="2"/>
      <c r="C15" s="9" t="s">
        <v>30</v>
      </c>
      <c r="D15" s="9" t="s">
        <v>30</v>
      </c>
      <c r="E15" s="4" t="s">
        <v>12</v>
      </c>
      <c r="F15" s="5" t="s">
        <v>33</v>
      </c>
      <c r="G15" s="124" t="s">
        <v>49</v>
      </c>
      <c r="H15" s="124"/>
      <c r="I15" s="124"/>
      <c r="J15" s="124"/>
      <c r="K15" s="124"/>
      <c r="M15" s="148"/>
      <c r="N15" s="148"/>
      <c r="O15" s="148"/>
      <c r="P15" s="148"/>
      <c r="Q15" s="148"/>
    </row>
    <row r="16" spans="1:17" ht="15.75" customHeight="1">
      <c r="A16" s="7" t="s">
        <v>4</v>
      </c>
      <c r="B16" s="2"/>
      <c r="C16" s="2"/>
      <c r="D16" s="2"/>
      <c r="E16" s="4" t="s">
        <v>13</v>
      </c>
      <c r="F16" s="5" t="s">
        <v>33</v>
      </c>
      <c r="G16" s="124" t="s">
        <v>50</v>
      </c>
      <c r="H16" s="124"/>
      <c r="I16" s="124"/>
      <c r="J16" s="124"/>
      <c r="K16" s="124"/>
      <c r="L16" s="129"/>
      <c r="M16" s="148"/>
      <c r="N16" s="148"/>
      <c r="O16" s="148"/>
      <c r="P16" s="148"/>
      <c r="Q16" s="148"/>
    </row>
    <row r="17" spans="1:17" ht="15.75">
      <c r="A17" s="7" t="s">
        <v>29</v>
      </c>
      <c r="B17" s="2"/>
      <c r="C17" s="2"/>
      <c r="D17" s="2"/>
      <c r="E17" s="4" t="s">
        <v>14</v>
      </c>
      <c r="F17" s="5" t="s">
        <v>33</v>
      </c>
      <c r="G17" s="124"/>
      <c r="H17" s="124"/>
      <c r="I17" s="124"/>
      <c r="J17" s="124"/>
      <c r="K17" s="124"/>
      <c r="L17" s="129"/>
      <c r="M17" s="148"/>
      <c r="N17" s="148"/>
      <c r="O17" s="148"/>
      <c r="P17" s="148"/>
      <c r="Q17" s="148"/>
    </row>
    <row r="18" spans="1:17" ht="15.75" customHeight="1">
      <c r="A18" s="7"/>
      <c r="B18" s="3"/>
      <c r="C18" s="3"/>
      <c r="D18" s="3"/>
      <c r="E18" s="4" t="s">
        <v>15</v>
      </c>
      <c r="F18" s="5" t="s">
        <v>33</v>
      </c>
      <c r="G18" s="124" t="s">
        <v>51</v>
      </c>
      <c r="H18" s="124"/>
      <c r="I18" s="124"/>
      <c r="J18" s="124"/>
      <c r="K18" s="124"/>
      <c r="L18" s="11"/>
      <c r="M18" s="148"/>
      <c r="N18" s="148"/>
      <c r="O18" s="148"/>
      <c r="P18" s="148"/>
      <c r="Q18" s="148"/>
    </row>
    <row r="19" spans="1:17">
      <c r="A19" s="131" t="s">
        <v>27</v>
      </c>
      <c r="B19" s="131"/>
      <c r="C19" s="131"/>
      <c r="D19" s="131"/>
      <c r="E19" s="4" t="s">
        <v>16</v>
      </c>
      <c r="F19" s="5" t="s">
        <v>33</v>
      </c>
      <c r="G19" s="124"/>
      <c r="H19" s="124"/>
      <c r="I19" s="124"/>
      <c r="J19" s="124"/>
      <c r="K19" s="124"/>
      <c r="L19" s="11"/>
      <c r="M19" s="148"/>
      <c r="N19" s="148"/>
      <c r="O19" s="148"/>
      <c r="P19" s="148"/>
      <c r="Q19" s="148"/>
    </row>
    <row r="20" spans="1:17" ht="15" customHeight="1">
      <c r="A20" s="127" t="s">
        <v>32</v>
      </c>
      <c r="B20" s="127"/>
      <c r="C20" s="127"/>
      <c r="D20" s="12" t="s">
        <v>22</v>
      </c>
      <c r="E20" s="4" t="s">
        <v>17</v>
      </c>
      <c r="F20" s="5" t="s">
        <v>33</v>
      </c>
      <c r="G20" s="142" t="s">
        <v>54</v>
      </c>
      <c r="H20" s="142"/>
      <c r="I20" s="142"/>
      <c r="J20" s="142"/>
      <c r="K20" s="142"/>
      <c r="M20" s="148"/>
      <c r="N20" s="148"/>
      <c r="O20" s="148"/>
      <c r="P20" s="148"/>
      <c r="Q20" s="148"/>
    </row>
    <row r="21" spans="1:17">
      <c r="A21" s="127"/>
      <c r="B21" s="127"/>
      <c r="C21" s="127"/>
      <c r="D21" s="12"/>
      <c r="E21" s="4" t="s">
        <v>18</v>
      </c>
      <c r="F21" s="5" t="s">
        <v>33</v>
      </c>
      <c r="G21" s="142"/>
      <c r="H21" s="142"/>
      <c r="I21" s="142"/>
      <c r="J21" s="142"/>
      <c r="K21" s="142"/>
      <c r="M21" s="22"/>
      <c r="N21" s="22"/>
      <c r="O21" s="22"/>
      <c r="P21" s="22"/>
      <c r="Q21" s="22"/>
    </row>
    <row r="22" spans="1:17" ht="15" customHeight="1">
      <c r="A22" s="127"/>
      <c r="B22" s="127"/>
      <c r="C22" s="127"/>
      <c r="D22" s="12"/>
      <c r="E22" s="137" t="s">
        <v>36</v>
      </c>
      <c r="F22" s="138"/>
      <c r="G22" s="124" t="s">
        <v>55</v>
      </c>
      <c r="H22" s="124"/>
      <c r="I22" s="124"/>
      <c r="J22" s="124"/>
      <c r="K22" s="124"/>
      <c r="M22" s="22"/>
      <c r="N22" s="22"/>
      <c r="O22" s="22"/>
      <c r="P22" s="22"/>
      <c r="Q22" s="22"/>
    </row>
    <row r="23" spans="1:17" ht="18" customHeight="1">
      <c r="A23" s="131" t="s">
        <v>23</v>
      </c>
      <c r="B23" s="131"/>
      <c r="C23" s="131"/>
      <c r="D23" s="131"/>
      <c r="E23" s="127" t="s">
        <v>59</v>
      </c>
      <c r="F23" s="5"/>
      <c r="G23" s="124"/>
      <c r="H23" s="124"/>
      <c r="I23" s="124"/>
      <c r="J23" s="124"/>
      <c r="K23" s="124"/>
      <c r="M23" s="22"/>
      <c r="N23" s="22"/>
      <c r="O23" s="22"/>
      <c r="P23" s="22"/>
      <c r="Q23" s="22"/>
    </row>
    <row r="24" spans="1:17" ht="14.25" customHeight="1">
      <c r="A24" s="127" t="s">
        <v>40</v>
      </c>
      <c r="B24" s="127"/>
      <c r="C24" s="127"/>
      <c r="D24" s="12"/>
      <c r="E24" s="127"/>
      <c r="F24" s="5"/>
      <c r="G24" s="124" t="s">
        <v>56</v>
      </c>
      <c r="H24" s="124"/>
      <c r="I24" s="124"/>
      <c r="J24" s="124"/>
      <c r="K24" s="124"/>
      <c r="M24" s="22"/>
      <c r="N24" s="22"/>
      <c r="O24" s="22"/>
      <c r="P24" s="22"/>
      <c r="Q24" s="22"/>
    </row>
    <row r="25" spans="1:17" ht="14.25" customHeight="1">
      <c r="A25" s="127"/>
      <c r="B25" s="127"/>
      <c r="C25" s="127"/>
      <c r="D25" s="12"/>
      <c r="E25" s="124" t="s">
        <v>39</v>
      </c>
      <c r="F25" s="5"/>
      <c r="G25" s="124"/>
      <c r="H25" s="124"/>
      <c r="I25" s="124"/>
      <c r="J25" s="124"/>
      <c r="K25" s="124"/>
      <c r="M25" s="22"/>
      <c r="N25" s="22"/>
      <c r="O25" s="22"/>
      <c r="P25" s="22"/>
      <c r="Q25" s="22"/>
    </row>
    <row r="26" spans="1:17" ht="14.25" customHeight="1">
      <c r="A26" s="127" t="s">
        <v>41</v>
      </c>
      <c r="B26" s="127"/>
      <c r="C26" s="127"/>
      <c r="D26" s="12"/>
      <c r="E26" s="124"/>
      <c r="F26" s="5"/>
      <c r="G26" s="124" t="s">
        <v>57</v>
      </c>
      <c r="H26" s="124"/>
      <c r="I26" s="124"/>
      <c r="J26" s="124"/>
      <c r="K26" s="124"/>
      <c r="M26" s="22"/>
      <c r="N26" s="22"/>
      <c r="O26" s="22"/>
      <c r="P26" s="22"/>
      <c r="Q26" s="22"/>
    </row>
    <row r="27" spans="1:17" ht="14.25" customHeight="1">
      <c r="A27" s="127"/>
      <c r="B27" s="127"/>
      <c r="C27" s="127"/>
      <c r="D27" s="12"/>
      <c r="E27" s="124"/>
      <c r="F27" s="5"/>
      <c r="G27" s="124"/>
      <c r="H27" s="124"/>
      <c r="I27" s="124"/>
      <c r="J27" s="124"/>
      <c r="K27" s="124"/>
      <c r="M27" s="22"/>
      <c r="N27" s="22"/>
      <c r="O27" s="22"/>
      <c r="P27" s="22"/>
      <c r="Q27" s="22"/>
    </row>
    <row r="28" spans="1:17" ht="16.5" customHeight="1">
      <c r="A28" s="128"/>
      <c r="B28" s="128"/>
      <c r="C28" s="128"/>
      <c r="D28" s="13"/>
      <c r="E28" s="140"/>
      <c r="F28" s="8"/>
      <c r="G28" s="8" t="s">
        <v>58</v>
      </c>
      <c r="H28" s="8"/>
      <c r="I28" s="8"/>
      <c r="J28" s="8"/>
      <c r="K28" s="8"/>
      <c r="L28" s="8"/>
      <c r="M28" s="22"/>
      <c r="N28" s="22"/>
      <c r="O28" s="22"/>
      <c r="P28" s="22"/>
      <c r="Q28" s="22"/>
    </row>
    <row r="32" spans="1:17" ht="15" customHeight="1"/>
    <row r="34" ht="15" customHeight="1"/>
  </sheetData>
  <mergeCells count="38">
    <mergeCell ref="E7:F7"/>
    <mergeCell ref="G7:L7"/>
    <mergeCell ref="M7:Q7"/>
    <mergeCell ref="B8:D8"/>
    <mergeCell ref="G8:K9"/>
    <mergeCell ref="L8:L9"/>
    <mergeCell ref="M8:Q8"/>
    <mergeCell ref="B9:D9"/>
    <mergeCell ref="M9:Q10"/>
    <mergeCell ref="B10:D10"/>
    <mergeCell ref="L10:L11"/>
    <mergeCell ref="B11:D11"/>
    <mergeCell ref="M11:Q12"/>
    <mergeCell ref="B12:D12"/>
    <mergeCell ref="G10:K11"/>
    <mergeCell ref="B13:D13"/>
    <mergeCell ref="M13:Q14"/>
    <mergeCell ref="A26:C28"/>
    <mergeCell ref="G26:K27"/>
    <mergeCell ref="L16:L17"/>
    <mergeCell ref="M17:Q18"/>
    <mergeCell ref="A19:D19"/>
    <mergeCell ref="M19:Q20"/>
    <mergeCell ref="G20:K21"/>
    <mergeCell ref="G22:K23"/>
    <mergeCell ref="M15:Q16"/>
    <mergeCell ref="G12:K13"/>
    <mergeCell ref="G15:K15"/>
    <mergeCell ref="G24:K25"/>
    <mergeCell ref="A20:C22"/>
    <mergeCell ref="A23:D23"/>
    <mergeCell ref="A24:C25"/>
    <mergeCell ref="G14:L14"/>
    <mergeCell ref="E23:E24"/>
    <mergeCell ref="E25:E28"/>
    <mergeCell ref="E22:F22"/>
    <mergeCell ref="G16:K17"/>
    <mergeCell ref="G18:K19"/>
  </mergeCells>
  <dataValidations disablePrompts="1" count="3">
    <dataValidation type="list" allowBlank="1" showInputMessage="1" showErrorMessage="1" sqref="D20:D22 D24:D28">
      <formula1>$L$1:$L$3</formula1>
    </dataValidation>
    <dataValidation type="list" allowBlank="1" showInputMessage="1" showErrorMessage="1" sqref="L8 L10">
      <formula1>$L$1:$L$4</formula1>
    </dataValidation>
    <dataValidation type="list" allowBlank="1" showInputMessage="1" showErrorMessage="1" sqref="F8:F12 F14:F27">
      <formula1>$E$1:$E$4</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sheetPr codeName="shtHelpEnglish">
    <tabColor theme="1"/>
    <pageSetUpPr fitToPage="1"/>
  </sheetPr>
  <dimension ref="A1"/>
  <sheetViews>
    <sheetView showGridLines="0" workbookViewId="0">
      <selection activeCell="B23" sqref="B23"/>
    </sheetView>
  </sheetViews>
  <sheetFormatPr defaultColWidth="9.140625" defaultRowHeight="15"/>
  <cols>
    <col min="1" max="1" width="1.7109375" customWidth="1"/>
    <col min="14" max="14" width="8.7109375" customWidth="1"/>
  </cols>
  <sheetData>
    <row r="1" ht="27" customHeight="1"/>
  </sheetData>
  <sheetProtection selectLockedCells="1" selectUnlockedCells="1"/>
  <printOptions horizontalCentered="1" verticalCentered="1"/>
  <pageMargins left="0.70866141732283472" right="0.70866141732283472" top="0.74803149606299213" bottom="0.74803149606299213" header="0.31496062992125984" footer="0.31496062992125984"/>
  <pageSetup scale="70" orientation="portrait" r:id="rId1"/>
  <drawing r:id="rId2"/>
</worksheet>
</file>

<file path=xl/worksheets/sheet6.xml><?xml version="1.0" encoding="utf-8"?>
<worksheet xmlns="http://schemas.openxmlformats.org/spreadsheetml/2006/main" xmlns:r="http://schemas.openxmlformats.org/officeDocument/2006/relationships">
  <sheetPr codeName="Sheet6">
    <tabColor theme="4" tint="0.39997558519241921"/>
    <pageSetUpPr fitToPage="1"/>
  </sheetPr>
  <dimension ref="A1:X248"/>
  <sheetViews>
    <sheetView topLeftCell="A16" workbookViewId="0">
      <selection activeCell="B19" sqref="B19:D19"/>
    </sheetView>
  </sheetViews>
  <sheetFormatPr defaultRowHeight="15"/>
  <cols>
    <col min="1" max="1" width="27" style="1" customWidth="1"/>
    <col min="2" max="2" width="10.140625" style="1" customWidth="1"/>
    <col min="3" max="3" width="11" style="1" customWidth="1"/>
    <col min="4" max="4" width="10.85546875" style="1" customWidth="1"/>
    <col min="5" max="5" width="25.5703125" style="1" customWidth="1"/>
    <col min="6" max="6" width="3.7109375" style="1" customWidth="1"/>
    <col min="7" max="7" width="19.7109375" style="1" customWidth="1"/>
    <col min="8" max="8" width="3.28515625" style="62" hidden="1" customWidth="1"/>
    <col min="9" max="9" width="7.140625" style="1" customWidth="1"/>
    <col min="10" max="10" width="8.140625" style="1" customWidth="1"/>
    <col min="11" max="11" width="7.140625" style="1" customWidth="1"/>
    <col min="12" max="12" width="6.85546875" style="1" customWidth="1"/>
    <col min="13" max="13" width="8.85546875" style="1" customWidth="1"/>
    <col min="14" max="14" width="7.140625" style="1" customWidth="1"/>
    <col min="15" max="15" width="1.85546875" style="1" customWidth="1"/>
    <col min="16" max="16" width="3.85546875" style="40" customWidth="1"/>
    <col min="17" max="17" width="2.5703125" style="40" hidden="1" customWidth="1"/>
    <col min="18" max="18" width="7.28515625" style="1" customWidth="1"/>
    <col min="19" max="21" width="9.140625" style="1"/>
    <col min="22" max="22" width="10.140625" style="1" customWidth="1"/>
    <col min="23" max="23" width="1.7109375" style="1" customWidth="1"/>
    <col min="24" max="24" width="3.85546875" style="1" customWidth="1"/>
    <col min="25" max="16384" width="9.140625" style="1"/>
  </cols>
  <sheetData>
    <row r="1" spans="1:18" hidden="1">
      <c r="A1" s="1" t="s">
        <v>22</v>
      </c>
      <c r="B1" s="1" t="s">
        <v>22</v>
      </c>
      <c r="C1" s="1" t="s">
        <v>22</v>
      </c>
      <c r="E1" s="24" t="s">
        <v>33</v>
      </c>
      <c r="G1" s="40" t="s">
        <v>22</v>
      </c>
      <c r="J1" s="1" t="s">
        <v>22</v>
      </c>
      <c r="M1" s="1" t="s">
        <v>22</v>
      </c>
      <c r="N1" s="1" t="s">
        <v>22</v>
      </c>
      <c r="R1" s="1" t="s">
        <v>22</v>
      </c>
    </row>
    <row r="2" spans="1:18" hidden="1">
      <c r="A2" s="1" t="s">
        <v>79</v>
      </c>
      <c r="B2" s="1" t="s">
        <v>63</v>
      </c>
      <c r="C2" s="1" t="s">
        <v>126</v>
      </c>
      <c r="E2" s="1" t="s">
        <v>97</v>
      </c>
      <c r="G2" s="40">
        <v>4</v>
      </c>
      <c r="J2" s="1" t="s">
        <v>105</v>
      </c>
      <c r="M2" s="1" t="s">
        <v>24</v>
      </c>
      <c r="N2" s="1" t="s">
        <v>24</v>
      </c>
      <c r="R2" s="1" t="s">
        <v>24</v>
      </c>
    </row>
    <row r="3" spans="1:18" hidden="1">
      <c r="A3" s="1" t="s">
        <v>80</v>
      </c>
      <c r="B3" s="1" t="s">
        <v>64</v>
      </c>
      <c r="C3" s="1" t="s">
        <v>117</v>
      </c>
      <c r="E3" s="1" t="s">
        <v>99</v>
      </c>
      <c r="G3" s="40">
        <v>5</v>
      </c>
      <c r="J3" s="1" t="s">
        <v>106</v>
      </c>
      <c r="M3" s="1" t="s">
        <v>25</v>
      </c>
      <c r="N3" s="1" t="s">
        <v>25</v>
      </c>
      <c r="R3" s="1" t="s">
        <v>25</v>
      </c>
    </row>
    <row r="4" spans="1:18" hidden="1">
      <c r="A4" s="1" t="s">
        <v>81</v>
      </c>
      <c r="B4" s="1" t="s">
        <v>65</v>
      </c>
      <c r="C4" s="1" t="s">
        <v>113</v>
      </c>
      <c r="E4" s="1" t="s">
        <v>98</v>
      </c>
      <c r="G4" s="40">
        <v>6</v>
      </c>
      <c r="J4" s="1" t="s">
        <v>107</v>
      </c>
      <c r="M4" s="1" t="s">
        <v>66</v>
      </c>
      <c r="N4" s="1" t="s">
        <v>26</v>
      </c>
    </row>
    <row r="5" spans="1:18" hidden="1">
      <c r="C5" s="1" t="s">
        <v>119</v>
      </c>
      <c r="G5" s="40">
        <v>8</v>
      </c>
    </row>
    <row r="6" spans="1:18" hidden="1">
      <c r="C6" s="1" t="s">
        <v>128</v>
      </c>
      <c r="G6" s="40">
        <v>9</v>
      </c>
    </row>
    <row r="7" spans="1:18" hidden="1">
      <c r="C7" s="1" t="s">
        <v>129</v>
      </c>
      <c r="G7" s="87" t="s">
        <v>30</v>
      </c>
      <c r="P7" s="77"/>
      <c r="Q7" s="77"/>
    </row>
    <row r="8" spans="1:18" hidden="1">
      <c r="C8" s="1" t="s">
        <v>116</v>
      </c>
      <c r="G8" s="77"/>
      <c r="P8" s="77"/>
      <c r="Q8" s="77"/>
    </row>
    <row r="9" spans="1:18" hidden="1">
      <c r="C9" s="1" t="s">
        <v>115</v>
      </c>
      <c r="G9" s="77"/>
      <c r="P9" s="77"/>
      <c r="Q9" s="77"/>
    </row>
    <row r="10" spans="1:18" hidden="1">
      <c r="C10" s="1" t="s">
        <v>120</v>
      </c>
      <c r="G10" s="77"/>
      <c r="P10" s="77"/>
      <c r="Q10" s="77"/>
    </row>
    <row r="11" spans="1:18" hidden="1">
      <c r="C11" s="1" t="s">
        <v>123</v>
      </c>
      <c r="G11" s="77"/>
      <c r="P11" s="77"/>
      <c r="Q11" s="77"/>
    </row>
    <row r="12" spans="1:18" hidden="1">
      <c r="C12" s="1" t="s">
        <v>112</v>
      </c>
      <c r="G12" s="77"/>
      <c r="P12" s="77"/>
      <c r="Q12" s="77"/>
    </row>
    <row r="13" spans="1:18" hidden="1">
      <c r="C13" s="1" t="s">
        <v>114</v>
      </c>
      <c r="G13" s="77"/>
      <c r="P13" s="77"/>
      <c r="Q13" s="77"/>
    </row>
    <row r="14" spans="1:18" hidden="1">
      <c r="C14" s="1" t="s">
        <v>127</v>
      </c>
      <c r="G14" s="77"/>
      <c r="P14" s="77"/>
      <c r="Q14" s="77"/>
    </row>
    <row r="15" spans="1:18" hidden="1">
      <c r="C15" s="1" t="s">
        <v>118</v>
      </c>
      <c r="G15" s="77"/>
      <c r="P15" s="77"/>
      <c r="Q15" s="77"/>
    </row>
    <row r="16" spans="1:18" ht="15.75">
      <c r="A16" s="84"/>
      <c r="B16" s="219"/>
      <c r="C16" s="219"/>
      <c r="D16" s="219"/>
      <c r="E16" s="219"/>
    </row>
    <row r="17" spans="1:24" ht="23.25">
      <c r="A17" s="25" t="s">
        <v>94</v>
      </c>
      <c r="D17" s="16"/>
      <c r="E17" s="221"/>
      <c r="F17" s="221"/>
      <c r="G17" s="221"/>
    </row>
    <row r="18" spans="1:24" ht="5.25" customHeight="1"/>
    <row r="19" spans="1:24">
      <c r="A19" s="85" t="s">
        <v>111</v>
      </c>
      <c r="B19" s="220" t="s">
        <v>128</v>
      </c>
      <c r="C19" s="220"/>
      <c r="D19" s="220"/>
      <c r="E19" s="137" t="s">
        <v>6</v>
      </c>
      <c r="F19" s="137"/>
      <c r="G19" s="138"/>
      <c r="H19" s="63"/>
      <c r="I19" s="137" t="s">
        <v>82</v>
      </c>
      <c r="J19" s="137"/>
      <c r="K19" s="137"/>
      <c r="L19" s="137"/>
      <c r="M19" s="137"/>
      <c r="N19" s="137"/>
      <c r="O19" s="137"/>
      <c r="P19" s="137"/>
      <c r="Q19" s="137"/>
      <c r="R19" s="137"/>
      <c r="S19" s="137"/>
      <c r="T19" s="137"/>
      <c r="U19" s="137"/>
      <c r="V19" s="137"/>
      <c r="W19" s="137"/>
      <c r="X19" s="191"/>
    </row>
    <row r="20" spans="1:24" ht="13.5" customHeight="1">
      <c r="A20" s="6" t="s">
        <v>108</v>
      </c>
      <c r="B20" s="168" t="s">
        <v>107</v>
      </c>
      <c r="C20" s="168"/>
      <c r="D20" s="168"/>
      <c r="E20" s="35" t="s">
        <v>67</v>
      </c>
      <c r="F20" s="35"/>
      <c r="G20" s="3"/>
      <c r="H20" s="64"/>
      <c r="I20" s="49">
        <f>N20/P20</f>
        <v>0</v>
      </c>
      <c r="J20" s="205" t="s">
        <v>95</v>
      </c>
      <c r="K20" s="205"/>
      <c r="L20" s="205"/>
      <c r="M20" s="205"/>
      <c r="N20" s="52">
        <f>COUNTIF($H21:$H35,TRUE)</f>
        <v>0</v>
      </c>
      <c r="O20" s="53" t="s">
        <v>92</v>
      </c>
      <c r="P20" s="56">
        <v>8</v>
      </c>
      <c r="Q20" s="44"/>
      <c r="R20" s="49">
        <f>V20/X20</f>
        <v>0</v>
      </c>
      <c r="S20" s="205" t="s">
        <v>83</v>
      </c>
      <c r="T20" s="205"/>
      <c r="U20" s="205"/>
      <c r="V20" s="52">
        <f>COUNTIF($Q21:$Q35,TRUE)</f>
        <v>0</v>
      </c>
      <c r="W20" s="53" t="s">
        <v>92</v>
      </c>
      <c r="X20" s="54">
        <v>8</v>
      </c>
    </row>
    <row r="21" spans="1:24" ht="15.75" customHeight="1">
      <c r="A21" s="6" t="s">
        <v>85</v>
      </c>
      <c r="B21" s="208" t="s">
        <v>147</v>
      </c>
      <c r="C21" s="208"/>
      <c r="D21" s="208"/>
      <c r="E21" s="36" t="s">
        <v>68</v>
      </c>
      <c r="F21" s="37" t="str">
        <f>IF($G21=$E$1,"","n")</f>
        <v/>
      </c>
      <c r="G21" s="41" t="s">
        <v>33</v>
      </c>
      <c r="H21" s="65" t="b">
        <v>0</v>
      </c>
      <c r="I21" s="42"/>
      <c r="J21" s="129" t="s">
        <v>101</v>
      </c>
      <c r="K21" s="129"/>
      <c r="L21" s="129"/>
      <c r="M21" s="129"/>
      <c r="N21" s="129"/>
      <c r="O21" s="129"/>
      <c r="P21" s="129"/>
      <c r="Q21" s="73" t="b">
        <v>0</v>
      </c>
      <c r="R21" s="50"/>
      <c r="S21" s="136" t="s">
        <v>101</v>
      </c>
      <c r="T21" s="136"/>
      <c r="U21" s="136"/>
      <c r="V21" s="136"/>
      <c r="W21" s="136"/>
      <c r="X21" s="188"/>
    </row>
    <row r="22" spans="1:24" ht="15" customHeight="1">
      <c r="A22" s="26" t="s">
        <v>86</v>
      </c>
      <c r="B22" s="164" t="s">
        <v>155</v>
      </c>
      <c r="C22" s="164"/>
      <c r="D22" s="164"/>
      <c r="E22" s="162" t="s">
        <v>87</v>
      </c>
      <c r="F22" s="162"/>
      <c r="G22" s="162"/>
      <c r="H22" s="66" t="b">
        <v>0</v>
      </c>
      <c r="I22" s="42"/>
      <c r="J22" s="189" t="s">
        <v>50</v>
      </c>
      <c r="K22" s="190"/>
      <c r="L22" s="190"/>
      <c r="M22" s="190"/>
      <c r="N22" s="190"/>
      <c r="O22" s="190"/>
      <c r="P22" s="222"/>
      <c r="Q22" s="218" t="b">
        <v>0</v>
      </c>
      <c r="R22" s="185"/>
      <c r="S22" s="190" t="s">
        <v>50</v>
      </c>
      <c r="T22" s="190"/>
      <c r="U22" s="190"/>
      <c r="V22" s="190"/>
      <c r="W22" s="190"/>
      <c r="X22" s="204"/>
    </row>
    <row r="23" spans="1:24" ht="15" customHeight="1">
      <c r="A23" s="26" t="s">
        <v>121</v>
      </c>
      <c r="B23" s="150">
        <v>8</v>
      </c>
      <c r="C23" s="150"/>
      <c r="D23" s="150"/>
      <c r="E23" s="162"/>
      <c r="F23" s="162"/>
      <c r="G23" s="162"/>
      <c r="H23" s="78"/>
      <c r="I23" s="42"/>
      <c r="J23" s="189"/>
      <c r="K23" s="190"/>
      <c r="L23" s="190"/>
      <c r="M23" s="190"/>
      <c r="N23" s="190"/>
      <c r="O23" s="190"/>
      <c r="P23" s="222"/>
      <c r="Q23" s="218"/>
      <c r="R23" s="185"/>
      <c r="S23" s="190"/>
      <c r="T23" s="190"/>
      <c r="U23" s="190"/>
      <c r="V23" s="190"/>
      <c r="W23" s="190"/>
      <c r="X23" s="204"/>
    </row>
    <row r="24" spans="1:24" ht="17.25" customHeight="1">
      <c r="A24" s="27" t="s">
        <v>109</v>
      </c>
      <c r="B24" s="160" t="s">
        <v>148</v>
      </c>
      <c r="C24" s="160"/>
      <c r="D24" s="160"/>
      <c r="E24" s="36" t="s">
        <v>69</v>
      </c>
      <c r="F24" s="37" t="str">
        <f>IF($G24=$E$1,"","n")</f>
        <v/>
      </c>
      <c r="G24" s="41" t="s">
        <v>33</v>
      </c>
      <c r="H24" s="66"/>
      <c r="I24" s="42"/>
      <c r="J24" s="189"/>
      <c r="K24" s="190"/>
      <c r="L24" s="190"/>
      <c r="M24" s="190"/>
      <c r="N24" s="190"/>
      <c r="O24" s="190"/>
      <c r="P24" s="222"/>
      <c r="Q24" s="218"/>
      <c r="R24" s="185"/>
      <c r="S24" s="190"/>
      <c r="T24" s="190"/>
      <c r="U24" s="190"/>
      <c r="V24" s="190"/>
      <c r="W24" s="190"/>
      <c r="X24" s="204"/>
    </row>
    <row r="25" spans="1:24" ht="15.75" customHeight="1">
      <c r="A25" s="28" t="s">
        <v>90</v>
      </c>
      <c r="B25" s="161" t="s">
        <v>65</v>
      </c>
      <c r="C25" s="161"/>
      <c r="D25" s="161"/>
      <c r="E25" s="162" t="s">
        <v>88</v>
      </c>
      <c r="F25" s="162"/>
      <c r="G25" s="162"/>
      <c r="H25" s="66" t="b">
        <v>0</v>
      </c>
      <c r="I25" s="42"/>
      <c r="J25" s="129" t="s">
        <v>102</v>
      </c>
      <c r="K25" s="129"/>
      <c r="L25" s="129"/>
      <c r="M25" s="129"/>
      <c r="N25" s="129"/>
      <c r="O25" s="129"/>
      <c r="P25" s="129"/>
      <c r="Q25" s="218" t="b">
        <v>0</v>
      </c>
      <c r="R25" s="185"/>
      <c r="S25" s="129" t="s">
        <v>102</v>
      </c>
      <c r="T25" s="129"/>
      <c r="U25" s="129"/>
      <c r="V25" s="129"/>
      <c r="W25" s="129"/>
      <c r="X25" s="187"/>
    </row>
    <row r="26" spans="1:24" ht="15" customHeight="1">
      <c r="A26" s="27" t="s">
        <v>110</v>
      </c>
      <c r="B26" s="160" t="s">
        <v>149</v>
      </c>
      <c r="C26" s="160"/>
      <c r="D26" s="160"/>
      <c r="E26" s="162"/>
      <c r="F26" s="162"/>
      <c r="G26" s="162"/>
      <c r="H26" s="66"/>
      <c r="I26" s="42"/>
      <c r="J26" s="129"/>
      <c r="K26" s="129"/>
      <c r="L26" s="129"/>
      <c r="M26" s="129"/>
      <c r="N26" s="129"/>
      <c r="O26" s="129"/>
      <c r="P26" s="129"/>
      <c r="Q26" s="218"/>
      <c r="R26" s="185"/>
      <c r="S26" s="129"/>
      <c r="T26" s="129"/>
      <c r="U26" s="129"/>
      <c r="V26" s="129"/>
      <c r="W26" s="129"/>
      <c r="X26" s="187"/>
    </row>
    <row r="27" spans="1:24" ht="15" customHeight="1">
      <c r="A27" s="6" t="s">
        <v>90</v>
      </c>
      <c r="B27" s="161" t="s">
        <v>65</v>
      </c>
      <c r="C27" s="161"/>
      <c r="D27" s="161"/>
      <c r="E27" s="36" t="s">
        <v>70</v>
      </c>
      <c r="F27" s="37" t="str">
        <f>IF($G27=$E$1,"","n")</f>
        <v/>
      </c>
      <c r="G27" s="41" t="s">
        <v>33</v>
      </c>
      <c r="H27" s="66" t="b">
        <v>0</v>
      </c>
      <c r="I27" s="42"/>
      <c r="J27" s="183" t="s">
        <v>103</v>
      </c>
      <c r="K27" s="183"/>
      <c r="L27" s="183"/>
      <c r="M27" s="183"/>
      <c r="N27" s="183"/>
      <c r="O27" s="183"/>
      <c r="P27" s="183"/>
      <c r="Q27" s="218" t="b">
        <v>0</v>
      </c>
      <c r="R27" s="185"/>
      <c r="S27" s="129" t="s">
        <v>103</v>
      </c>
      <c r="T27" s="129"/>
      <c r="U27" s="129"/>
      <c r="V27" s="129"/>
      <c r="W27" s="129"/>
      <c r="X27" s="187"/>
    </row>
    <row r="28" spans="1:24" ht="15" customHeight="1">
      <c r="A28" s="6" t="s">
        <v>91</v>
      </c>
      <c r="B28" s="203" t="s">
        <v>81</v>
      </c>
      <c r="C28" s="203"/>
      <c r="D28" s="203"/>
      <c r="E28" s="162" t="s">
        <v>89</v>
      </c>
      <c r="F28" s="162"/>
      <c r="G28" s="162"/>
      <c r="H28" s="66"/>
      <c r="I28" s="42"/>
      <c r="J28" s="183"/>
      <c r="K28" s="183"/>
      <c r="L28" s="183"/>
      <c r="M28" s="183"/>
      <c r="N28" s="183"/>
      <c r="O28" s="183"/>
      <c r="P28" s="183"/>
      <c r="Q28" s="218"/>
      <c r="R28" s="185"/>
      <c r="S28" s="129"/>
      <c r="T28" s="129"/>
      <c r="U28" s="129"/>
      <c r="V28" s="129"/>
      <c r="W28" s="129"/>
      <c r="X28" s="187"/>
    </row>
    <row r="29" spans="1:24" ht="15" customHeight="1">
      <c r="A29" s="3"/>
      <c r="B29" s="104">
        <f>EVI_Score1</f>
        <v>2016</v>
      </c>
      <c r="C29" s="104">
        <f>EVI_Score2</f>
        <v>2015</v>
      </c>
      <c r="D29" s="105">
        <f>EVI_Score3</f>
        <v>2014</v>
      </c>
      <c r="E29" s="162"/>
      <c r="F29" s="162"/>
      <c r="G29" s="162"/>
      <c r="H29" s="66" t="b">
        <v>0</v>
      </c>
      <c r="I29" s="42"/>
      <c r="J29" s="183" t="s">
        <v>104</v>
      </c>
      <c r="K29" s="183"/>
      <c r="L29" s="183"/>
      <c r="M29" s="183"/>
      <c r="N29" s="183"/>
      <c r="O29" s="183"/>
      <c r="P29" s="183"/>
      <c r="Q29" s="218" t="b">
        <v>0</v>
      </c>
      <c r="R29" s="185"/>
      <c r="S29" s="183" t="s">
        <v>104</v>
      </c>
      <c r="T29" s="183"/>
      <c r="U29" s="183"/>
      <c r="V29" s="183"/>
      <c r="W29" s="183"/>
      <c r="X29" s="186"/>
    </row>
    <row r="30" spans="1:24" ht="15.75" customHeight="1">
      <c r="A30" s="7" t="s">
        <v>3</v>
      </c>
      <c r="B30" s="89">
        <v>100</v>
      </c>
      <c r="C30" s="89">
        <v>90</v>
      </c>
      <c r="D30" s="101" t="s">
        <v>30</v>
      </c>
      <c r="E30" s="38" t="s">
        <v>71</v>
      </c>
      <c r="F30" s="86"/>
      <c r="G30" s="86"/>
      <c r="H30" s="66"/>
      <c r="I30" s="42"/>
      <c r="J30" s="183"/>
      <c r="K30" s="183"/>
      <c r="L30" s="183"/>
      <c r="M30" s="183"/>
      <c r="N30" s="183"/>
      <c r="O30" s="183"/>
      <c r="P30" s="183"/>
      <c r="Q30" s="218"/>
      <c r="R30" s="185"/>
      <c r="S30" s="183"/>
      <c r="T30" s="183"/>
      <c r="U30" s="183"/>
      <c r="V30" s="183"/>
      <c r="W30" s="183"/>
      <c r="X30" s="186"/>
    </row>
    <row r="31" spans="1:24" ht="15.75" customHeight="1">
      <c r="B31" s="104">
        <f>PMP_Y1</f>
        <v>2015</v>
      </c>
      <c r="C31" s="104">
        <f>PMP_Y2</f>
        <v>2014</v>
      </c>
      <c r="D31" s="105">
        <f>PMP_Y3</f>
        <v>2013</v>
      </c>
      <c r="E31" s="36" t="s">
        <v>72</v>
      </c>
      <c r="F31" s="37" t="str">
        <f>IF($G31=$E$1,"","n")</f>
        <v/>
      </c>
      <c r="G31" s="41" t="s">
        <v>33</v>
      </c>
      <c r="H31" s="66" t="b">
        <v>0</v>
      </c>
      <c r="I31" s="42"/>
      <c r="J31" s="129" t="s">
        <v>56</v>
      </c>
      <c r="K31" s="129"/>
      <c r="L31" s="129"/>
      <c r="M31" s="129"/>
      <c r="N31" s="129"/>
      <c r="O31" s="129"/>
      <c r="P31" s="129"/>
      <c r="Q31" s="218" t="b">
        <v>0</v>
      </c>
      <c r="R31" s="185"/>
      <c r="S31" s="129" t="s">
        <v>56</v>
      </c>
      <c r="T31" s="129"/>
      <c r="U31" s="129"/>
      <c r="V31" s="129"/>
      <c r="W31" s="129"/>
      <c r="X31" s="187"/>
    </row>
    <row r="32" spans="1:24" ht="16.5" customHeight="1">
      <c r="A32" s="7" t="s">
        <v>4</v>
      </c>
      <c r="B32" s="29">
        <v>9</v>
      </c>
      <c r="C32" s="29">
        <v>8</v>
      </c>
      <c r="D32" s="102" t="s">
        <v>30</v>
      </c>
      <c r="E32" s="149" t="s">
        <v>122</v>
      </c>
      <c r="F32" s="149"/>
      <c r="G32" s="149"/>
      <c r="H32" s="66"/>
      <c r="I32" s="42"/>
      <c r="J32" s="129"/>
      <c r="K32" s="129"/>
      <c r="L32" s="129"/>
      <c r="M32" s="129"/>
      <c r="N32" s="129"/>
      <c r="O32" s="129"/>
      <c r="P32" s="129"/>
      <c r="Q32" s="218"/>
      <c r="R32" s="185"/>
      <c r="S32" s="129"/>
      <c r="T32" s="129"/>
      <c r="U32" s="129"/>
      <c r="V32" s="129"/>
      <c r="W32" s="129"/>
      <c r="X32" s="187"/>
    </row>
    <row r="33" spans="1:24" ht="15" customHeight="1">
      <c r="A33" s="131" t="s">
        <v>74</v>
      </c>
      <c r="B33" s="131"/>
      <c r="C33" s="131"/>
      <c r="D33" s="131"/>
      <c r="E33" s="149"/>
      <c r="F33" s="149"/>
      <c r="G33" s="149"/>
      <c r="H33" s="66" t="b">
        <v>0</v>
      </c>
      <c r="I33" s="42"/>
      <c r="J33" s="129" t="s">
        <v>57</v>
      </c>
      <c r="K33" s="129"/>
      <c r="L33" s="129"/>
      <c r="M33" s="129"/>
      <c r="N33" s="129"/>
      <c r="O33" s="129"/>
      <c r="P33" s="129"/>
      <c r="Q33" s="218" t="b">
        <v>0</v>
      </c>
      <c r="R33" s="185"/>
      <c r="S33" s="129" t="s">
        <v>57</v>
      </c>
      <c r="T33" s="129"/>
      <c r="U33" s="129"/>
      <c r="V33" s="129"/>
      <c r="W33" s="129"/>
      <c r="X33" s="187"/>
    </row>
    <row r="34" spans="1:24" ht="15.75">
      <c r="A34" s="192"/>
      <c r="B34" s="192"/>
      <c r="C34" s="192"/>
      <c r="D34" s="192"/>
      <c r="E34" s="36" t="s">
        <v>73</v>
      </c>
      <c r="F34" s="37" t="str">
        <f>IF($G34=$E$1,"","n")</f>
        <v/>
      </c>
      <c r="G34" s="41" t="s">
        <v>33</v>
      </c>
      <c r="H34" s="66"/>
      <c r="I34" s="42"/>
      <c r="J34" s="129"/>
      <c r="K34" s="129"/>
      <c r="L34" s="129"/>
      <c r="M34" s="129"/>
      <c r="N34" s="129"/>
      <c r="O34" s="129"/>
      <c r="P34" s="129"/>
      <c r="Q34" s="218"/>
      <c r="R34" s="185"/>
      <c r="S34" s="129"/>
      <c r="T34" s="129"/>
      <c r="U34" s="129"/>
      <c r="V34" s="129"/>
      <c r="W34" s="129"/>
      <c r="X34" s="187"/>
    </row>
    <row r="35" spans="1:24" ht="15.75" thickBot="1">
      <c r="A35" s="192"/>
      <c r="B35" s="192"/>
      <c r="C35" s="192"/>
      <c r="D35" s="192"/>
      <c r="E35" s="193" t="s">
        <v>78</v>
      </c>
      <c r="F35" s="193"/>
      <c r="G35" s="193"/>
      <c r="H35" s="67" t="b">
        <v>0</v>
      </c>
      <c r="I35" s="34"/>
      <c r="J35" s="194" t="s">
        <v>58</v>
      </c>
      <c r="K35" s="194"/>
      <c r="L35" s="194"/>
      <c r="M35" s="194"/>
      <c r="N35" s="194"/>
      <c r="O35" s="194"/>
      <c r="P35" s="194"/>
      <c r="Q35" s="74" t="b">
        <v>0</v>
      </c>
      <c r="R35" s="51"/>
      <c r="S35" s="32" t="s">
        <v>58</v>
      </c>
      <c r="T35" s="32"/>
      <c r="U35" s="32"/>
      <c r="V35" s="32"/>
      <c r="W35" s="32"/>
      <c r="X35" s="55"/>
    </row>
    <row r="36" spans="1:24" ht="15.75" customHeight="1" thickTop="1">
      <c r="A36" s="195" t="s">
        <v>96</v>
      </c>
      <c r="B36" s="195"/>
      <c r="C36" s="195"/>
      <c r="D36" s="195"/>
      <c r="E36" s="197" t="s">
        <v>100</v>
      </c>
      <c r="F36" s="197"/>
      <c r="G36" s="197"/>
      <c r="H36" s="68"/>
      <c r="I36" s="151" t="s">
        <v>84</v>
      </c>
      <c r="J36" s="152"/>
      <c r="K36" s="152"/>
      <c r="L36" s="152"/>
      <c r="M36" s="152"/>
      <c r="N36" s="152"/>
      <c r="O36" s="152"/>
      <c r="P36" s="153"/>
      <c r="Q36" s="45"/>
      <c r="R36" s="152" t="s">
        <v>77</v>
      </c>
      <c r="S36" s="152"/>
      <c r="T36" s="152"/>
      <c r="U36" s="152"/>
      <c r="V36" s="152"/>
      <c r="W36" s="152"/>
      <c r="X36" s="153"/>
    </row>
    <row r="37" spans="1:24">
      <c r="A37" s="195"/>
      <c r="B37" s="195"/>
      <c r="C37" s="195"/>
      <c r="D37" s="195"/>
      <c r="E37" s="198" t="s">
        <v>144</v>
      </c>
      <c r="F37" s="199"/>
      <c r="G37" s="200"/>
      <c r="H37" s="90"/>
      <c r="I37" s="154" t="s">
        <v>145</v>
      </c>
      <c r="J37" s="155"/>
      <c r="K37" s="155"/>
      <c r="L37" s="155"/>
      <c r="M37" s="155"/>
      <c r="N37" s="155"/>
      <c r="O37" s="155"/>
      <c r="P37" s="156"/>
      <c r="Q37" s="91"/>
      <c r="R37" s="179" t="s">
        <v>146</v>
      </c>
      <c r="S37" s="179"/>
      <c r="T37" s="179"/>
      <c r="U37" s="179"/>
      <c r="V37" s="179"/>
      <c r="W37" s="179"/>
      <c r="X37" s="180"/>
    </row>
    <row r="38" spans="1:24" ht="31.5" customHeight="1">
      <c r="A38" s="196"/>
      <c r="B38" s="196"/>
      <c r="C38" s="196"/>
      <c r="D38" s="196"/>
      <c r="E38" s="201"/>
      <c r="F38" s="201"/>
      <c r="G38" s="202"/>
      <c r="H38" s="92"/>
      <c r="I38" s="157"/>
      <c r="J38" s="158"/>
      <c r="K38" s="158"/>
      <c r="L38" s="158"/>
      <c r="M38" s="158"/>
      <c r="N38" s="158"/>
      <c r="O38" s="158"/>
      <c r="P38" s="159"/>
      <c r="Q38" s="93"/>
      <c r="R38" s="181"/>
      <c r="S38" s="181"/>
      <c r="T38" s="181"/>
      <c r="U38" s="181"/>
      <c r="V38" s="181"/>
      <c r="W38" s="181"/>
      <c r="X38" s="182"/>
    </row>
    <row r="39" spans="1:24" s="3" customFormat="1" ht="12.75" customHeight="1" thickBot="1">
      <c r="H39" s="69"/>
      <c r="P39" s="31"/>
      <c r="Q39" s="31"/>
    </row>
    <row r="40" spans="1:24" s="3" customFormat="1" ht="13.5" customHeight="1" thickTop="1">
      <c r="A40" s="39"/>
      <c r="B40" s="39"/>
      <c r="C40" s="39"/>
      <c r="D40" s="39"/>
      <c r="E40" s="166" t="s">
        <v>6</v>
      </c>
      <c r="F40" s="166"/>
      <c r="G40" s="167"/>
      <c r="H40" s="70"/>
      <c r="I40" s="47"/>
      <c r="J40" s="46" t="s">
        <v>82</v>
      </c>
      <c r="K40" s="46"/>
      <c r="L40" s="46"/>
      <c r="M40" s="46"/>
      <c r="N40" s="46"/>
      <c r="O40" s="46"/>
      <c r="P40" s="46"/>
      <c r="Q40" s="46"/>
      <c r="R40" s="46"/>
      <c r="S40" s="46"/>
      <c r="T40" s="46"/>
      <c r="U40" s="46"/>
      <c r="V40" s="46"/>
      <c r="W40" s="46"/>
      <c r="X40" s="58"/>
    </row>
    <row r="41" spans="1:24" ht="14.25" customHeight="1">
      <c r="A41" s="6" t="s">
        <v>108</v>
      </c>
      <c r="B41" s="168" t="s">
        <v>107</v>
      </c>
      <c r="C41" s="168"/>
      <c r="D41" s="168"/>
      <c r="E41" s="35" t="s">
        <v>67</v>
      </c>
      <c r="F41" s="35"/>
      <c r="G41" s="3"/>
      <c r="H41" s="64"/>
      <c r="I41" s="49">
        <f>N41/P41</f>
        <v>0</v>
      </c>
      <c r="J41" s="205" t="s">
        <v>95</v>
      </c>
      <c r="K41" s="205"/>
      <c r="L41" s="205"/>
      <c r="M41" s="205"/>
      <c r="N41" s="33">
        <f>COUNTIF($H42:$H56,TRUE)</f>
        <v>0</v>
      </c>
      <c r="O41" s="30" t="s">
        <v>92</v>
      </c>
      <c r="P41" s="57">
        <v>8</v>
      </c>
      <c r="Q41" s="43"/>
      <c r="R41" s="49">
        <f>V41/X41</f>
        <v>0</v>
      </c>
      <c r="S41" s="205" t="s">
        <v>83</v>
      </c>
      <c r="T41" s="205"/>
      <c r="U41" s="205"/>
      <c r="V41" s="33">
        <f>COUNTIF($Q42:$Q56,TRUE)</f>
        <v>0</v>
      </c>
      <c r="W41" s="30" t="s">
        <v>92</v>
      </c>
      <c r="X41" s="60">
        <v>8</v>
      </c>
    </row>
    <row r="42" spans="1:24" ht="15.75" customHeight="1">
      <c r="A42" s="6" t="s">
        <v>85</v>
      </c>
      <c r="B42" s="163" t="s">
        <v>159</v>
      </c>
      <c r="C42" s="163"/>
      <c r="D42" s="163"/>
      <c r="E42" s="36" t="s">
        <v>68</v>
      </c>
      <c r="F42" s="37" t="str">
        <f>IF($G42=$E$1,"","n")</f>
        <v/>
      </c>
      <c r="G42" s="79" t="s">
        <v>33</v>
      </c>
      <c r="H42" s="65" t="b">
        <v>0</v>
      </c>
      <c r="I42" s="42"/>
      <c r="J42" s="129" t="s">
        <v>101</v>
      </c>
      <c r="K42" s="129"/>
      <c r="L42" s="129"/>
      <c r="M42" s="129"/>
      <c r="N42" s="129"/>
      <c r="O42" s="129"/>
      <c r="P42" s="129"/>
      <c r="Q42" s="75" t="b">
        <v>0</v>
      </c>
      <c r="R42" s="50"/>
      <c r="S42" s="136" t="s">
        <v>101</v>
      </c>
      <c r="T42" s="136"/>
      <c r="U42" s="136"/>
      <c r="V42" s="136"/>
      <c r="W42" s="136"/>
      <c r="X42" s="216"/>
    </row>
    <row r="43" spans="1:24" ht="15" customHeight="1">
      <c r="A43" s="26" t="s">
        <v>86</v>
      </c>
      <c r="B43" s="164"/>
      <c r="C43" s="164"/>
      <c r="D43" s="164"/>
      <c r="E43" s="162" t="s">
        <v>87</v>
      </c>
      <c r="F43" s="162"/>
      <c r="G43" s="162"/>
      <c r="H43" s="66" t="b">
        <v>0</v>
      </c>
      <c r="I43" s="42"/>
      <c r="J43" s="189" t="s">
        <v>50</v>
      </c>
      <c r="K43" s="190"/>
      <c r="L43" s="190"/>
      <c r="M43" s="190"/>
      <c r="N43" s="190"/>
      <c r="O43" s="190"/>
      <c r="P43" s="190"/>
      <c r="Q43" s="184" t="b">
        <v>0</v>
      </c>
      <c r="R43" s="185"/>
      <c r="S43" s="190" t="s">
        <v>50</v>
      </c>
      <c r="T43" s="190"/>
      <c r="U43" s="190"/>
      <c r="V43" s="190"/>
      <c r="W43" s="190"/>
      <c r="X43" s="217"/>
    </row>
    <row r="44" spans="1:24" ht="15" customHeight="1">
      <c r="A44" s="26" t="s">
        <v>121</v>
      </c>
      <c r="B44" s="150">
        <v>3</v>
      </c>
      <c r="C44" s="150"/>
      <c r="D44" s="150"/>
      <c r="E44" s="162"/>
      <c r="F44" s="162"/>
      <c r="G44" s="162"/>
      <c r="H44" s="78"/>
      <c r="I44" s="42"/>
      <c r="J44" s="189"/>
      <c r="K44" s="190"/>
      <c r="L44" s="190"/>
      <c r="M44" s="190"/>
      <c r="N44" s="190"/>
      <c r="O44" s="190"/>
      <c r="P44" s="190"/>
      <c r="Q44" s="184"/>
      <c r="R44" s="185"/>
      <c r="S44" s="190"/>
      <c r="T44" s="190"/>
      <c r="U44" s="190"/>
      <c r="V44" s="190"/>
      <c r="W44" s="190"/>
      <c r="X44" s="217"/>
    </row>
    <row r="45" spans="1:24" ht="17.25" customHeight="1">
      <c r="A45" s="27" t="s">
        <v>109</v>
      </c>
      <c r="B45" s="160" t="s">
        <v>160</v>
      </c>
      <c r="C45" s="160"/>
      <c r="D45" s="160"/>
      <c r="E45" s="36" t="s">
        <v>69</v>
      </c>
      <c r="F45" s="37" t="str">
        <f>IF($G45=$E$1,"","n")</f>
        <v/>
      </c>
      <c r="G45" s="79" t="s">
        <v>33</v>
      </c>
      <c r="H45" s="66"/>
      <c r="I45" s="42"/>
      <c r="J45" s="189"/>
      <c r="K45" s="190"/>
      <c r="L45" s="190"/>
      <c r="M45" s="190"/>
      <c r="N45" s="190"/>
      <c r="O45" s="190"/>
      <c r="P45" s="190"/>
      <c r="Q45" s="184"/>
      <c r="R45" s="185"/>
      <c r="S45" s="190"/>
      <c r="T45" s="190"/>
      <c r="U45" s="190"/>
      <c r="V45" s="190"/>
      <c r="W45" s="190"/>
      <c r="X45" s="217"/>
    </row>
    <row r="46" spans="1:24" ht="15.75" customHeight="1">
      <c r="A46" s="28" t="s">
        <v>90</v>
      </c>
      <c r="B46" s="161" t="s">
        <v>65</v>
      </c>
      <c r="C46" s="161"/>
      <c r="D46" s="161"/>
      <c r="E46" s="162" t="s">
        <v>88</v>
      </c>
      <c r="F46" s="162"/>
      <c r="G46" s="162"/>
      <c r="H46" s="66" t="b">
        <v>0</v>
      </c>
      <c r="I46" s="42"/>
      <c r="J46" s="129" t="s">
        <v>102</v>
      </c>
      <c r="K46" s="129"/>
      <c r="L46" s="129"/>
      <c r="M46" s="129"/>
      <c r="N46" s="129"/>
      <c r="O46" s="129"/>
      <c r="P46" s="129"/>
      <c r="Q46" s="184" t="b">
        <v>0</v>
      </c>
      <c r="R46" s="185"/>
      <c r="S46" s="129" t="s">
        <v>102</v>
      </c>
      <c r="T46" s="129"/>
      <c r="U46" s="129"/>
      <c r="V46" s="129"/>
      <c r="W46" s="129"/>
      <c r="X46" s="214"/>
    </row>
    <row r="47" spans="1:24" ht="15" customHeight="1">
      <c r="A47" s="27" t="s">
        <v>110</v>
      </c>
      <c r="B47" s="160" t="s">
        <v>161</v>
      </c>
      <c r="C47" s="160"/>
      <c r="D47" s="160"/>
      <c r="E47" s="162"/>
      <c r="F47" s="162"/>
      <c r="G47" s="162"/>
      <c r="H47" s="66"/>
      <c r="I47" s="42"/>
      <c r="J47" s="129"/>
      <c r="K47" s="129"/>
      <c r="L47" s="129"/>
      <c r="M47" s="129"/>
      <c r="N47" s="129"/>
      <c r="O47" s="129"/>
      <c r="P47" s="129"/>
      <c r="Q47" s="184"/>
      <c r="R47" s="185"/>
      <c r="S47" s="129"/>
      <c r="T47" s="129"/>
      <c r="U47" s="129"/>
      <c r="V47" s="129"/>
      <c r="W47" s="129"/>
      <c r="X47" s="214"/>
    </row>
    <row r="48" spans="1:24" ht="15" customHeight="1">
      <c r="A48" s="6" t="s">
        <v>90</v>
      </c>
      <c r="B48" s="161" t="s">
        <v>64</v>
      </c>
      <c r="C48" s="161"/>
      <c r="D48" s="161"/>
      <c r="E48" s="36" t="s">
        <v>70</v>
      </c>
      <c r="F48" s="37" t="str">
        <f>IF($G48=$E$1,"","n")</f>
        <v/>
      </c>
      <c r="G48" s="79" t="s">
        <v>33</v>
      </c>
      <c r="H48" s="66" t="b">
        <v>0</v>
      </c>
      <c r="I48" s="42"/>
      <c r="J48" s="183" t="s">
        <v>103</v>
      </c>
      <c r="K48" s="183"/>
      <c r="L48" s="183"/>
      <c r="M48" s="183"/>
      <c r="N48" s="183"/>
      <c r="O48" s="183"/>
      <c r="P48" s="183"/>
      <c r="Q48" s="184" t="b">
        <v>0</v>
      </c>
      <c r="R48" s="185"/>
      <c r="S48" s="129" t="s">
        <v>103</v>
      </c>
      <c r="T48" s="129"/>
      <c r="U48" s="129"/>
      <c r="V48" s="129"/>
      <c r="W48" s="129"/>
      <c r="X48" s="214"/>
    </row>
    <row r="49" spans="1:24">
      <c r="A49" s="6" t="s">
        <v>91</v>
      </c>
      <c r="B49" s="203" t="s">
        <v>22</v>
      </c>
      <c r="C49" s="203"/>
      <c r="D49" s="203"/>
      <c r="E49" s="162" t="s">
        <v>89</v>
      </c>
      <c r="F49" s="162"/>
      <c r="G49" s="162"/>
      <c r="H49" s="66"/>
      <c r="I49" s="42"/>
      <c r="J49" s="183"/>
      <c r="K49" s="183"/>
      <c r="L49" s="183"/>
      <c r="M49" s="183"/>
      <c r="N49" s="183"/>
      <c r="O49" s="183"/>
      <c r="P49" s="183"/>
      <c r="Q49" s="184"/>
      <c r="R49" s="185"/>
      <c r="S49" s="129"/>
      <c r="T49" s="129"/>
      <c r="U49" s="129"/>
      <c r="V49" s="129"/>
      <c r="W49" s="129"/>
      <c r="X49" s="214"/>
    </row>
    <row r="50" spans="1:24" ht="15" customHeight="1">
      <c r="A50" s="3"/>
      <c r="B50" s="104">
        <f>EVI_Score1</f>
        <v>2016</v>
      </c>
      <c r="C50" s="104">
        <f>EVI_Score2</f>
        <v>2015</v>
      </c>
      <c r="D50" s="105">
        <f>EVI_Score3</f>
        <v>2014</v>
      </c>
      <c r="E50" s="162"/>
      <c r="F50" s="162"/>
      <c r="G50" s="162"/>
      <c r="H50" s="66" t="b">
        <v>0</v>
      </c>
      <c r="I50" s="42"/>
      <c r="J50" s="183" t="s">
        <v>104</v>
      </c>
      <c r="K50" s="183"/>
      <c r="L50" s="183"/>
      <c r="M50" s="183"/>
      <c r="N50" s="183"/>
      <c r="O50" s="183"/>
      <c r="P50" s="183"/>
      <c r="Q50" s="184" t="b">
        <v>0</v>
      </c>
      <c r="R50" s="185"/>
      <c r="S50" s="183" t="s">
        <v>104</v>
      </c>
      <c r="T50" s="183"/>
      <c r="U50" s="183"/>
      <c r="V50" s="183"/>
      <c r="W50" s="183"/>
      <c r="X50" s="215"/>
    </row>
    <row r="51" spans="1:24" ht="15.75">
      <c r="A51" s="7" t="s">
        <v>3</v>
      </c>
      <c r="B51" s="89">
        <v>100</v>
      </c>
      <c r="C51" s="89">
        <v>90</v>
      </c>
      <c r="D51" s="103" t="s">
        <v>30</v>
      </c>
      <c r="E51" s="38" t="s">
        <v>71</v>
      </c>
      <c r="F51" s="86"/>
      <c r="G51" s="86"/>
      <c r="H51" s="66"/>
      <c r="I51" s="42"/>
      <c r="J51" s="183"/>
      <c r="K51" s="183"/>
      <c r="L51" s="183"/>
      <c r="M51" s="183"/>
      <c r="N51" s="183"/>
      <c r="O51" s="183"/>
      <c r="P51" s="183"/>
      <c r="Q51" s="184"/>
      <c r="R51" s="185"/>
      <c r="S51" s="183"/>
      <c r="T51" s="183"/>
      <c r="U51" s="183"/>
      <c r="V51" s="183"/>
      <c r="W51" s="183"/>
      <c r="X51" s="215"/>
    </row>
    <row r="52" spans="1:24" ht="15.75" customHeight="1">
      <c r="B52" s="104">
        <f>PMP_Y1</f>
        <v>2015</v>
      </c>
      <c r="C52" s="104">
        <f>PMP_Y2</f>
        <v>2014</v>
      </c>
      <c r="D52" s="105">
        <f>PMP_Y3</f>
        <v>2013</v>
      </c>
      <c r="E52" s="36" t="s">
        <v>72</v>
      </c>
      <c r="F52" s="37" t="str">
        <f>IF($G52=$E$1,"","n")</f>
        <v/>
      </c>
      <c r="G52" s="79" t="s">
        <v>33</v>
      </c>
      <c r="H52" s="66" t="b">
        <v>0</v>
      </c>
      <c r="I52" s="42"/>
      <c r="J52" s="129" t="s">
        <v>56</v>
      </c>
      <c r="K52" s="129"/>
      <c r="L52" s="129"/>
      <c r="M52" s="129"/>
      <c r="N52" s="129"/>
      <c r="O52" s="129"/>
      <c r="P52" s="129"/>
      <c r="Q52" s="184" t="b">
        <v>0</v>
      </c>
      <c r="R52" s="185"/>
      <c r="S52" s="129" t="s">
        <v>56</v>
      </c>
      <c r="T52" s="129"/>
      <c r="U52" s="129"/>
      <c r="V52" s="129"/>
      <c r="W52" s="129"/>
      <c r="X52" s="214"/>
    </row>
    <row r="53" spans="1:24" ht="15.75">
      <c r="A53" s="7" t="s">
        <v>4</v>
      </c>
      <c r="B53" s="29">
        <v>6</v>
      </c>
      <c r="C53" s="29">
        <v>6</v>
      </c>
      <c r="D53" s="102">
        <v>6</v>
      </c>
      <c r="E53" s="149" t="s">
        <v>122</v>
      </c>
      <c r="F53" s="149"/>
      <c r="G53" s="149"/>
      <c r="H53" s="66"/>
      <c r="I53" s="42"/>
      <c r="J53" s="129"/>
      <c r="K53" s="129"/>
      <c r="L53" s="129"/>
      <c r="M53" s="129"/>
      <c r="N53" s="129"/>
      <c r="O53" s="129"/>
      <c r="P53" s="129"/>
      <c r="Q53" s="184"/>
      <c r="R53" s="185"/>
      <c r="S53" s="129"/>
      <c r="T53" s="129"/>
      <c r="U53" s="129"/>
      <c r="V53" s="129"/>
      <c r="W53" s="129"/>
      <c r="X53" s="214"/>
    </row>
    <row r="54" spans="1:24" ht="15" customHeight="1">
      <c r="A54" s="131" t="s">
        <v>74</v>
      </c>
      <c r="B54" s="131"/>
      <c r="C54" s="131"/>
      <c r="D54" s="131"/>
      <c r="E54" s="149"/>
      <c r="F54" s="149"/>
      <c r="G54" s="149"/>
      <c r="H54" s="66" t="b">
        <v>0</v>
      </c>
      <c r="I54" s="42"/>
      <c r="J54" s="129" t="s">
        <v>57</v>
      </c>
      <c r="K54" s="129"/>
      <c r="L54" s="129"/>
      <c r="M54" s="129"/>
      <c r="N54" s="129"/>
      <c r="O54" s="129"/>
      <c r="P54" s="129"/>
      <c r="Q54" s="184" t="b">
        <v>0</v>
      </c>
      <c r="R54" s="185"/>
      <c r="S54" s="129" t="s">
        <v>57</v>
      </c>
      <c r="T54" s="129"/>
      <c r="U54" s="129"/>
      <c r="V54" s="129"/>
      <c r="W54" s="129"/>
      <c r="X54" s="214"/>
    </row>
    <row r="55" spans="1:24" ht="15.75">
      <c r="A55" s="192"/>
      <c r="B55" s="192"/>
      <c r="C55" s="192"/>
      <c r="D55" s="192"/>
      <c r="E55" s="36" t="s">
        <v>73</v>
      </c>
      <c r="F55" s="37" t="str">
        <f>IF($G55=$E$1,"","n")</f>
        <v/>
      </c>
      <c r="G55" s="79" t="s">
        <v>33</v>
      </c>
      <c r="H55" s="66"/>
      <c r="I55" s="42"/>
      <c r="J55" s="129"/>
      <c r="K55" s="129"/>
      <c r="L55" s="129"/>
      <c r="M55" s="129"/>
      <c r="N55" s="129"/>
      <c r="O55" s="129"/>
      <c r="P55" s="129"/>
      <c r="Q55" s="184"/>
      <c r="R55" s="185"/>
      <c r="S55" s="129"/>
      <c r="T55" s="129"/>
      <c r="U55" s="129"/>
      <c r="V55" s="129"/>
      <c r="W55" s="129"/>
      <c r="X55" s="214"/>
    </row>
    <row r="56" spans="1:24" ht="15.75" thickBot="1">
      <c r="A56" s="192"/>
      <c r="B56" s="192"/>
      <c r="C56" s="192"/>
      <c r="D56" s="192"/>
      <c r="E56" s="193" t="s">
        <v>78</v>
      </c>
      <c r="F56" s="193"/>
      <c r="G56" s="193"/>
      <c r="H56" s="67" t="b">
        <v>0</v>
      </c>
      <c r="I56" s="34"/>
      <c r="J56" s="194" t="s">
        <v>58</v>
      </c>
      <c r="K56" s="194"/>
      <c r="L56" s="194"/>
      <c r="M56" s="194"/>
      <c r="N56" s="194"/>
      <c r="O56" s="194"/>
      <c r="P56" s="194"/>
      <c r="Q56" s="76" t="b">
        <v>0</v>
      </c>
      <c r="R56" s="51"/>
      <c r="S56" s="32" t="s">
        <v>58</v>
      </c>
      <c r="T56" s="32"/>
      <c r="U56" s="32"/>
      <c r="V56" s="32"/>
      <c r="W56" s="32"/>
      <c r="X56" s="59"/>
    </row>
    <row r="57" spans="1:24" ht="15.75" customHeight="1" thickTop="1">
      <c r="A57" s="195" t="s">
        <v>96</v>
      </c>
      <c r="B57" s="195"/>
      <c r="C57" s="195"/>
      <c r="D57" s="195"/>
      <c r="E57" s="197" t="s">
        <v>100</v>
      </c>
      <c r="F57" s="197"/>
      <c r="G57" s="209"/>
      <c r="H57" s="71"/>
      <c r="I57" s="152" t="s">
        <v>84</v>
      </c>
      <c r="J57" s="152"/>
      <c r="K57" s="152"/>
      <c r="L57" s="152"/>
      <c r="M57" s="152"/>
      <c r="N57" s="152"/>
      <c r="O57" s="152"/>
      <c r="P57" s="153"/>
      <c r="Q57" s="45"/>
      <c r="R57" s="152" t="s">
        <v>77</v>
      </c>
      <c r="S57" s="152"/>
      <c r="T57" s="152"/>
      <c r="U57" s="152"/>
      <c r="V57" s="152"/>
      <c r="W57" s="152"/>
      <c r="X57" s="153"/>
    </row>
    <row r="58" spans="1:24" ht="15.75" customHeight="1">
      <c r="A58" s="195"/>
      <c r="B58" s="195"/>
      <c r="C58" s="195"/>
      <c r="D58" s="195"/>
      <c r="E58" s="210" t="s">
        <v>173</v>
      </c>
      <c r="F58" s="210"/>
      <c r="G58" s="211"/>
      <c r="H58" s="113"/>
      <c r="I58" s="210" t="s">
        <v>174</v>
      </c>
      <c r="J58" s="210"/>
      <c r="K58" s="210"/>
      <c r="L58" s="210"/>
      <c r="M58" s="210"/>
      <c r="N58" s="210"/>
      <c r="O58" s="210"/>
      <c r="P58" s="211"/>
      <c r="Q58" s="30"/>
      <c r="R58" s="210" t="s">
        <v>175</v>
      </c>
      <c r="S58" s="210"/>
      <c r="T58" s="210"/>
      <c r="U58" s="210"/>
      <c r="V58" s="210"/>
      <c r="W58" s="210"/>
      <c r="X58" s="211"/>
    </row>
    <row r="59" spans="1:24" ht="46.5" customHeight="1">
      <c r="A59" s="196"/>
      <c r="B59" s="196"/>
      <c r="C59" s="196"/>
      <c r="D59" s="196"/>
      <c r="E59" s="212"/>
      <c r="F59" s="212"/>
      <c r="G59" s="213"/>
      <c r="H59" s="93"/>
      <c r="I59" s="212"/>
      <c r="J59" s="212"/>
      <c r="K59" s="212"/>
      <c r="L59" s="212"/>
      <c r="M59" s="212"/>
      <c r="N59" s="212"/>
      <c r="O59" s="212"/>
      <c r="P59" s="213"/>
      <c r="Q59" s="93"/>
      <c r="R59" s="212"/>
      <c r="S59" s="212"/>
      <c r="T59" s="212"/>
      <c r="U59" s="212"/>
      <c r="V59" s="212"/>
      <c r="W59" s="212"/>
      <c r="X59" s="213"/>
    </row>
    <row r="60" spans="1:24" s="3" customFormat="1" ht="10.5" customHeight="1" thickBot="1">
      <c r="H60" s="69"/>
      <c r="P60" s="31"/>
      <c r="Q60" s="31"/>
    </row>
    <row r="61" spans="1:24" s="3" customFormat="1" ht="12.75" customHeight="1" thickTop="1">
      <c r="A61" s="39"/>
      <c r="B61" s="39"/>
      <c r="C61" s="39"/>
      <c r="D61" s="39"/>
      <c r="E61" s="166" t="s">
        <v>6</v>
      </c>
      <c r="F61" s="166"/>
      <c r="G61" s="167"/>
      <c r="H61" s="70"/>
      <c r="I61" s="47"/>
      <c r="J61" s="46" t="s">
        <v>82</v>
      </c>
      <c r="K61" s="46"/>
      <c r="L61" s="46"/>
      <c r="M61" s="46"/>
      <c r="N61" s="46"/>
      <c r="O61" s="46"/>
      <c r="P61" s="46"/>
      <c r="Q61" s="46"/>
      <c r="R61" s="46"/>
      <c r="S61" s="46"/>
      <c r="T61" s="46"/>
      <c r="U61" s="46"/>
      <c r="V61" s="46"/>
      <c r="W61" s="46"/>
      <c r="X61" s="47"/>
    </row>
    <row r="62" spans="1:24" ht="12" customHeight="1">
      <c r="A62" s="6" t="s">
        <v>108</v>
      </c>
      <c r="B62" s="168" t="s">
        <v>106</v>
      </c>
      <c r="C62" s="168"/>
      <c r="D62" s="168"/>
      <c r="E62" s="35" t="s">
        <v>67</v>
      </c>
      <c r="F62" s="35"/>
      <c r="G62" s="3"/>
      <c r="H62" s="64"/>
      <c r="I62" s="49">
        <f>N62/P62</f>
        <v>0</v>
      </c>
      <c r="J62" s="205" t="s">
        <v>95</v>
      </c>
      <c r="K62" s="205"/>
      <c r="L62" s="205"/>
      <c r="M62" s="205"/>
      <c r="N62" s="33">
        <f>COUNTIF($H63:$H77,TRUE)</f>
        <v>0</v>
      </c>
      <c r="O62" s="30" t="s">
        <v>92</v>
      </c>
      <c r="P62" s="57">
        <v>8</v>
      </c>
      <c r="Q62" s="43" t="s">
        <v>93</v>
      </c>
      <c r="R62" s="49">
        <f>V62/X62</f>
        <v>0</v>
      </c>
      <c r="S62" s="205" t="s">
        <v>83</v>
      </c>
      <c r="T62" s="205"/>
      <c r="U62" s="205"/>
      <c r="V62" s="33">
        <f>COUNTIF($Q63:$Q77,TRUE)</f>
        <v>0</v>
      </c>
      <c r="W62" s="30" t="s">
        <v>92</v>
      </c>
      <c r="X62" s="61">
        <v>8</v>
      </c>
    </row>
    <row r="63" spans="1:24" ht="15.75" customHeight="1">
      <c r="A63" s="6" t="s">
        <v>85</v>
      </c>
      <c r="B63" s="163" t="s">
        <v>162</v>
      </c>
      <c r="C63" s="163"/>
      <c r="D63" s="163"/>
      <c r="E63" s="36" t="s">
        <v>68</v>
      </c>
      <c r="F63" s="37" t="str">
        <f>IF($G63=$E$1,"","n")</f>
        <v/>
      </c>
      <c r="G63" s="88" t="s">
        <v>33</v>
      </c>
      <c r="H63" s="65" t="b">
        <v>0</v>
      </c>
      <c r="I63" s="42"/>
      <c r="J63" s="129" t="s">
        <v>101</v>
      </c>
      <c r="K63" s="129"/>
      <c r="L63" s="129"/>
      <c r="M63" s="129"/>
      <c r="N63" s="129"/>
      <c r="O63" s="129"/>
      <c r="P63" s="129"/>
      <c r="Q63" s="75" t="b">
        <v>0</v>
      </c>
      <c r="R63" s="50"/>
      <c r="S63" s="136" t="s">
        <v>101</v>
      </c>
      <c r="T63" s="136"/>
      <c r="U63" s="136"/>
      <c r="V63" s="136"/>
      <c r="W63" s="136"/>
      <c r="X63" s="188"/>
    </row>
    <row r="64" spans="1:24" ht="15" customHeight="1">
      <c r="A64" s="26" t="s">
        <v>86</v>
      </c>
      <c r="B64" s="164">
        <v>25</v>
      </c>
      <c r="C64" s="164"/>
      <c r="D64" s="164"/>
      <c r="E64" s="162" t="s">
        <v>87</v>
      </c>
      <c r="F64" s="162"/>
      <c r="G64" s="162"/>
      <c r="H64" s="72" t="b">
        <v>0</v>
      </c>
      <c r="I64" s="48"/>
      <c r="J64" s="189" t="s">
        <v>50</v>
      </c>
      <c r="K64" s="190"/>
      <c r="L64" s="190"/>
      <c r="M64" s="190"/>
      <c r="N64" s="190"/>
      <c r="O64" s="190"/>
      <c r="P64" s="190"/>
      <c r="Q64" s="184" t="b">
        <v>0</v>
      </c>
      <c r="R64" s="185"/>
      <c r="S64" s="190" t="s">
        <v>50</v>
      </c>
      <c r="T64" s="190"/>
      <c r="U64" s="190"/>
      <c r="V64" s="190"/>
      <c r="W64" s="190"/>
      <c r="X64" s="204"/>
    </row>
    <row r="65" spans="1:24" ht="15" customHeight="1">
      <c r="A65" s="26" t="s">
        <v>121</v>
      </c>
      <c r="B65" s="150">
        <v>25</v>
      </c>
      <c r="C65" s="150"/>
      <c r="D65" s="150"/>
      <c r="E65" s="162"/>
      <c r="F65" s="162"/>
      <c r="G65" s="162"/>
      <c r="H65" s="72"/>
      <c r="I65" s="48"/>
      <c r="J65" s="189"/>
      <c r="K65" s="190"/>
      <c r="L65" s="190"/>
      <c r="M65" s="190"/>
      <c r="N65" s="190"/>
      <c r="O65" s="190"/>
      <c r="P65" s="190"/>
      <c r="Q65" s="184"/>
      <c r="R65" s="185"/>
      <c r="S65" s="190"/>
      <c r="T65" s="190"/>
      <c r="U65" s="190"/>
      <c r="V65" s="190"/>
      <c r="W65" s="190"/>
      <c r="X65" s="204"/>
    </row>
    <row r="66" spans="1:24" ht="17.25" customHeight="1">
      <c r="A66" s="27" t="s">
        <v>109</v>
      </c>
      <c r="B66" s="160" t="s">
        <v>163</v>
      </c>
      <c r="C66" s="160"/>
      <c r="D66" s="160"/>
      <c r="E66" s="36" t="s">
        <v>69</v>
      </c>
      <c r="F66" s="37" t="str">
        <f>IF($G66=$E$1,"","n")</f>
        <v/>
      </c>
      <c r="G66" s="88" t="s">
        <v>33</v>
      </c>
      <c r="H66" s="72"/>
      <c r="I66" s="48"/>
      <c r="J66" s="189"/>
      <c r="K66" s="190"/>
      <c r="L66" s="190"/>
      <c r="M66" s="190"/>
      <c r="N66" s="190"/>
      <c r="O66" s="190"/>
      <c r="P66" s="190"/>
      <c r="Q66" s="184"/>
      <c r="R66" s="185"/>
      <c r="S66" s="190"/>
      <c r="T66" s="190"/>
      <c r="U66" s="190"/>
      <c r="V66" s="190"/>
      <c r="W66" s="190"/>
      <c r="X66" s="204"/>
    </row>
    <row r="67" spans="1:24" ht="15.75" customHeight="1">
      <c r="A67" s="28" t="s">
        <v>90</v>
      </c>
      <c r="B67" s="161" t="s">
        <v>64</v>
      </c>
      <c r="C67" s="161"/>
      <c r="D67" s="161"/>
      <c r="E67" s="162" t="s">
        <v>88</v>
      </c>
      <c r="F67" s="162"/>
      <c r="G67" s="162"/>
      <c r="H67" s="72" t="b">
        <v>0</v>
      </c>
      <c r="I67" s="48"/>
      <c r="J67" s="129" t="s">
        <v>102</v>
      </c>
      <c r="K67" s="129"/>
      <c r="L67" s="129"/>
      <c r="M67" s="129"/>
      <c r="N67" s="129"/>
      <c r="O67" s="129"/>
      <c r="P67" s="129"/>
      <c r="Q67" s="184" t="b">
        <v>0</v>
      </c>
      <c r="R67" s="185"/>
      <c r="S67" s="129" t="s">
        <v>102</v>
      </c>
      <c r="T67" s="129"/>
      <c r="U67" s="129"/>
      <c r="V67" s="129"/>
      <c r="W67" s="129"/>
      <c r="X67" s="187"/>
    </row>
    <row r="68" spans="1:24" ht="15" customHeight="1">
      <c r="A68" s="27" t="s">
        <v>110</v>
      </c>
      <c r="B68" s="160" t="s">
        <v>164</v>
      </c>
      <c r="C68" s="160"/>
      <c r="D68" s="160"/>
      <c r="E68" s="162"/>
      <c r="F68" s="162"/>
      <c r="G68" s="162"/>
      <c r="H68" s="72"/>
      <c r="I68" s="48"/>
      <c r="J68" s="129"/>
      <c r="K68" s="129"/>
      <c r="L68" s="129"/>
      <c r="M68" s="129"/>
      <c r="N68" s="129"/>
      <c r="O68" s="129"/>
      <c r="P68" s="129"/>
      <c r="Q68" s="184"/>
      <c r="R68" s="185"/>
      <c r="S68" s="129"/>
      <c r="T68" s="129"/>
      <c r="U68" s="129"/>
      <c r="V68" s="129"/>
      <c r="W68" s="129"/>
      <c r="X68" s="187"/>
    </row>
    <row r="69" spans="1:24" ht="15" customHeight="1">
      <c r="A69" s="6" t="s">
        <v>90</v>
      </c>
      <c r="B69" s="161" t="s">
        <v>64</v>
      </c>
      <c r="C69" s="161"/>
      <c r="D69" s="161"/>
      <c r="E69" s="36" t="s">
        <v>70</v>
      </c>
      <c r="F69" s="37" t="str">
        <f>IF($G69=$E$1,"","n")</f>
        <v/>
      </c>
      <c r="G69" s="88" t="s">
        <v>33</v>
      </c>
      <c r="H69" s="72" t="b">
        <v>0</v>
      </c>
      <c r="I69" s="48"/>
      <c r="J69" s="183" t="s">
        <v>103</v>
      </c>
      <c r="K69" s="183"/>
      <c r="L69" s="183"/>
      <c r="M69" s="183"/>
      <c r="N69" s="183"/>
      <c r="O69" s="183"/>
      <c r="P69" s="183"/>
      <c r="Q69" s="184" t="b">
        <v>0</v>
      </c>
      <c r="R69" s="185"/>
      <c r="S69" s="129" t="s">
        <v>103</v>
      </c>
      <c r="T69" s="129"/>
      <c r="U69" s="129"/>
      <c r="V69" s="129"/>
      <c r="W69" s="129"/>
      <c r="X69" s="187"/>
    </row>
    <row r="70" spans="1:24" ht="15" customHeight="1">
      <c r="A70" s="6" t="s">
        <v>91</v>
      </c>
      <c r="B70" s="203" t="s">
        <v>80</v>
      </c>
      <c r="C70" s="203"/>
      <c r="D70" s="203"/>
      <c r="E70" s="162" t="s">
        <v>89</v>
      </c>
      <c r="F70" s="162"/>
      <c r="G70" s="162"/>
      <c r="H70" s="72"/>
      <c r="I70" s="48"/>
      <c r="J70" s="183"/>
      <c r="K70" s="183"/>
      <c r="L70" s="183"/>
      <c r="M70" s="183"/>
      <c r="N70" s="183"/>
      <c r="O70" s="183"/>
      <c r="P70" s="183"/>
      <c r="Q70" s="184"/>
      <c r="R70" s="185"/>
      <c r="S70" s="129"/>
      <c r="T70" s="129"/>
      <c r="U70" s="129"/>
      <c r="V70" s="129"/>
      <c r="W70" s="129"/>
      <c r="X70" s="187"/>
    </row>
    <row r="71" spans="1:24" ht="15" customHeight="1">
      <c r="A71" s="3"/>
      <c r="B71" s="104">
        <f>EVI_Score1</f>
        <v>2016</v>
      </c>
      <c r="C71" s="104">
        <f>EVI_Score2</f>
        <v>2015</v>
      </c>
      <c r="D71" s="105">
        <f>EVI_Score3</f>
        <v>2014</v>
      </c>
      <c r="E71" s="162"/>
      <c r="F71" s="162"/>
      <c r="G71" s="162"/>
      <c r="H71" s="72" t="b">
        <v>0</v>
      </c>
      <c r="I71" s="48"/>
      <c r="J71" s="183" t="s">
        <v>104</v>
      </c>
      <c r="K71" s="183"/>
      <c r="L71" s="183"/>
      <c r="M71" s="183"/>
      <c r="N71" s="183"/>
      <c r="O71" s="183"/>
      <c r="P71" s="183"/>
      <c r="Q71" s="184" t="b">
        <v>0</v>
      </c>
      <c r="R71" s="185"/>
      <c r="S71" s="183" t="s">
        <v>104</v>
      </c>
      <c r="T71" s="183"/>
      <c r="U71" s="183"/>
      <c r="V71" s="183"/>
      <c r="W71" s="183"/>
      <c r="X71" s="186"/>
    </row>
    <row r="72" spans="1:24" ht="15.75">
      <c r="A72" s="7" t="s">
        <v>3</v>
      </c>
      <c r="B72" s="89">
        <v>75</v>
      </c>
      <c r="C72" s="89">
        <v>76</v>
      </c>
      <c r="D72" s="103" t="s">
        <v>30</v>
      </c>
      <c r="E72" s="38" t="s">
        <v>71</v>
      </c>
      <c r="F72" s="86"/>
      <c r="G72" s="86"/>
      <c r="H72" s="72"/>
      <c r="I72" s="48"/>
      <c r="J72" s="183"/>
      <c r="K72" s="183"/>
      <c r="L72" s="183"/>
      <c r="M72" s="183"/>
      <c r="N72" s="183"/>
      <c r="O72" s="183"/>
      <c r="P72" s="183"/>
      <c r="Q72" s="184"/>
      <c r="R72" s="185"/>
      <c r="S72" s="183"/>
      <c r="T72" s="183"/>
      <c r="U72" s="183"/>
      <c r="V72" s="183"/>
      <c r="W72" s="183"/>
      <c r="X72" s="186"/>
    </row>
    <row r="73" spans="1:24" ht="15.75" customHeight="1">
      <c r="A73" s="7"/>
      <c r="B73" s="104">
        <f>PMP_Y1</f>
        <v>2015</v>
      </c>
      <c r="C73" s="104">
        <f>PMP_Y2</f>
        <v>2014</v>
      </c>
      <c r="D73" s="105">
        <f>PMP_Y3</f>
        <v>2013</v>
      </c>
      <c r="E73" s="36" t="s">
        <v>72</v>
      </c>
      <c r="F73" s="37" t="str">
        <f>IF($G73=$E$1,"","n")</f>
        <v/>
      </c>
      <c r="G73" s="88" t="s">
        <v>33</v>
      </c>
      <c r="H73" s="72" t="b">
        <v>0</v>
      </c>
      <c r="I73" s="48"/>
      <c r="J73" s="129" t="s">
        <v>56</v>
      </c>
      <c r="K73" s="129"/>
      <c r="L73" s="129"/>
      <c r="M73" s="129"/>
      <c r="N73" s="129"/>
      <c r="O73" s="129"/>
      <c r="P73" s="129"/>
      <c r="Q73" s="184" t="b">
        <v>0</v>
      </c>
      <c r="R73" s="185"/>
      <c r="S73" s="129" t="s">
        <v>56</v>
      </c>
      <c r="T73" s="129"/>
      <c r="U73" s="129"/>
      <c r="V73" s="129"/>
      <c r="W73" s="129"/>
      <c r="X73" s="187"/>
    </row>
    <row r="74" spans="1:24" ht="15.75" customHeight="1">
      <c r="A74" s="7" t="s">
        <v>4</v>
      </c>
      <c r="B74" s="29">
        <v>5</v>
      </c>
      <c r="C74" s="29">
        <v>4</v>
      </c>
      <c r="D74" s="102" t="s">
        <v>22</v>
      </c>
      <c r="E74" s="149" t="s">
        <v>122</v>
      </c>
      <c r="F74" s="149"/>
      <c r="G74" s="149"/>
      <c r="H74" s="72"/>
      <c r="I74" s="48"/>
      <c r="J74" s="129"/>
      <c r="K74" s="129"/>
      <c r="L74" s="129"/>
      <c r="M74" s="129"/>
      <c r="N74" s="129"/>
      <c r="O74" s="129"/>
      <c r="P74" s="129"/>
      <c r="Q74" s="184"/>
      <c r="R74" s="185"/>
      <c r="S74" s="129"/>
      <c r="T74" s="129"/>
      <c r="U74" s="129"/>
      <c r="V74" s="129"/>
      <c r="W74" s="129"/>
      <c r="X74" s="187"/>
    </row>
    <row r="75" spans="1:24" ht="15" customHeight="1">
      <c r="A75" s="131" t="s">
        <v>74</v>
      </c>
      <c r="B75" s="131"/>
      <c r="C75" s="131"/>
      <c r="D75" s="131"/>
      <c r="E75" s="149"/>
      <c r="F75" s="149"/>
      <c r="G75" s="149"/>
      <c r="H75" s="72" t="b">
        <v>0</v>
      </c>
      <c r="I75" s="48"/>
      <c r="J75" s="129" t="s">
        <v>57</v>
      </c>
      <c r="K75" s="129"/>
      <c r="L75" s="129"/>
      <c r="M75" s="129"/>
      <c r="N75" s="129"/>
      <c r="O75" s="129"/>
      <c r="P75" s="129"/>
      <c r="Q75" s="184" t="b">
        <v>0</v>
      </c>
      <c r="R75" s="185"/>
      <c r="S75" s="129" t="s">
        <v>57</v>
      </c>
      <c r="T75" s="129"/>
      <c r="U75" s="129"/>
      <c r="V75" s="129"/>
      <c r="W75" s="129"/>
      <c r="X75" s="187"/>
    </row>
    <row r="76" spans="1:24" ht="15.75">
      <c r="A76" s="192"/>
      <c r="B76" s="192"/>
      <c r="C76" s="192"/>
      <c r="D76" s="192"/>
      <c r="E76" s="36" t="s">
        <v>73</v>
      </c>
      <c r="F76" s="37" t="str">
        <f>IF($G76=$E$1,"","n")</f>
        <v/>
      </c>
      <c r="G76" s="88" t="s">
        <v>33</v>
      </c>
      <c r="H76" s="72"/>
      <c r="I76" s="48"/>
      <c r="J76" s="129"/>
      <c r="K76" s="129"/>
      <c r="L76" s="129"/>
      <c r="M76" s="129"/>
      <c r="N76" s="129"/>
      <c r="O76" s="129"/>
      <c r="P76" s="129"/>
      <c r="Q76" s="184"/>
      <c r="R76" s="185"/>
      <c r="S76" s="129"/>
      <c r="T76" s="129"/>
      <c r="U76" s="129"/>
      <c r="V76" s="129"/>
      <c r="W76" s="129"/>
      <c r="X76" s="187"/>
    </row>
    <row r="77" spans="1:24" ht="15.75" thickBot="1">
      <c r="A77" s="192"/>
      <c r="B77" s="192"/>
      <c r="C77" s="192"/>
      <c r="D77" s="192"/>
      <c r="E77" s="193" t="s">
        <v>78</v>
      </c>
      <c r="F77" s="193"/>
      <c r="G77" s="193"/>
      <c r="H77" s="67" t="b">
        <v>0</v>
      </c>
      <c r="I77" s="34"/>
      <c r="J77" s="194" t="s">
        <v>58</v>
      </c>
      <c r="K77" s="194"/>
      <c r="L77" s="194"/>
      <c r="M77" s="194"/>
      <c r="N77" s="194"/>
      <c r="O77" s="194"/>
      <c r="P77" s="194"/>
      <c r="Q77" s="76" t="b">
        <v>0</v>
      </c>
      <c r="R77" s="51"/>
      <c r="S77" s="32" t="s">
        <v>58</v>
      </c>
      <c r="T77" s="32"/>
      <c r="U77" s="32"/>
      <c r="V77" s="32"/>
      <c r="W77" s="32"/>
      <c r="X77" s="55"/>
    </row>
    <row r="78" spans="1:24" ht="15.75" customHeight="1" thickTop="1">
      <c r="A78" s="195" t="s">
        <v>96</v>
      </c>
      <c r="B78" s="195"/>
      <c r="C78" s="195"/>
      <c r="D78" s="195"/>
      <c r="E78" s="197" t="s">
        <v>100</v>
      </c>
      <c r="F78" s="197"/>
      <c r="G78" s="209"/>
      <c r="H78" s="71"/>
      <c r="I78" s="152" t="s">
        <v>84</v>
      </c>
      <c r="J78" s="152"/>
      <c r="K78" s="152"/>
      <c r="L78" s="152"/>
      <c r="M78" s="152"/>
      <c r="N78" s="152"/>
      <c r="O78" s="152"/>
      <c r="P78" s="153"/>
      <c r="Q78" s="45"/>
      <c r="R78" s="152" t="s">
        <v>77</v>
      </c>
      <c r="S78" s="152"/>
      <c r="T78" s="152"/>
      <c r="U78" s="152"/>
      <c r="V78" s="152"/>
      <c r="W78" s="152"/>
      <c r="X78" s="153"/>
    </row>
    <row r="79" spans="1:24">
      <c r="A79" s="195"/>
      <c r="B79" s="195"/>
      <c r="C79" s="195"/>
      <c r="D79" s="195"/>
      <c r="E79" s="198" t="s">
        <v>176</v>
      </c>
      <c r="F79" s="199"/>
      <c r="G79" s="200"/>
      <c r="H79" s="80"/>
      <c r="I79" s="173" t="s">
        <v>177</v>
      </c>
      <c r="J79" s="174"/>
      <c r="K79" s="174"/>
      <c r="L79" s="174"/>
      <c r="M79" s="174"/>
      <c r="N79" s="174"/>
      <c r="O79" s="174"/>
      <c r="P79" s="175"/>
      <c r="Q79" s="81"/>
      <c r="R79" s="169"/>
      <c r="S79" s="169"/>
      <c r="T79" s="169"/>
      <c r="U79" s="169"/>
      <c r="V79" s="169"/>
      <c r="W79" s="169"/>
      <c r="X79" s="170"/>
    </row>
    <row r="80" spans="1:24" ht="31.5" customHeight="1">
      <c r="A80" s="196"/>
      <c r="B80" s="196"/>
      <c r="C80" s="196"/>
      <c r="D80" s="196"/>
      <c r="E80" s="201"/>
      <c r="F80" s="201"/>
      <c r="G80" s="202"/>
      <c r="H80" s="82"/>
      <c r="I80" s="176"/>
      <c r="J80" s="177"/>
      <c r="K80" s="177"/>
      <c r="L80" s="177"/>
      <c r="M80" s="177"/>
      <c r="N80" s="177"/>
      <c r="O80" s="177"/>
      <c r="P80" s="178"/>
      <c r="Q80" s="83"/>
      <c r="R80" s="171"/>
      <c r="S80" s="171"/>
      <c r="T80" s="171"/>
      <c r="U80" s="171"/>
      <c r="V80" s="171"/>
      <c r="W80" s="171"/>
      <c r="X80" s="172"/>
    </row>
    <row r="81" spans="1:24" s="3" customFormat="1" ht="10.5" customHeight="1" thickBot="1">
      <c r="H81" s="69"/>
      <c r="P81" s="31"/>
      <c r="Q81" s="31"/>
    </row>
    <row r="82" spans="1:24" s="3" customFormat="1" ht="15.75" thickTop="1">
      <c r="A82" s="39"/>
      <c r="B82" s="39"/>
      <c r="C82" s="39"/>
      <c r="D82" s="39"/>
      <c r="E82" s="166" t="s">
        <v>6</v>
      </c>
      <c r="F82" s="166"/>
      <c r="G82" s="167"/>
      <c r="H82" s="70"/>
      <c r="I82" s="47"/>
      <c r="J82" s="46" t="s">
        <v>82</v>
      </c>
      <c r="K82" s="46"/>
      <c r="L82" s="46"/>
      <c r="M82" s="46"/>
      <c r="N82" s="46"/>
      <c r="O82" s="46"/>
      <c r="P82" s="46"/>
      <c r="Q82" s="46"/>
      <c r="R82" s="46"/>
      <c r="S82" s="46"/>
      <c r="T82" s="46"/>
      <c r="U82" s="46"/>
      <c r="V82" s="46"/>
      <c r="W82" s="46"/>
      <c r="X82" s="47"/>
    </row>
    <row r="83" spans="1:24" ht="15.75" customHeight="1">
      <c r="A83" s="6" t="s">
        <v>108</v>
      </c>
      <c r="B83" s="168" t="s">
        <v>105</v>
      </c>
      <c r="C83" s="168"/>
      <c r="D83" s="168"/>
      <c r="E83" s="35" t="s">
        <v>67</v>
      </c>
      <c r="F83" s="35"/>
      <c r="G83" s="3"/>
      <c r="H83" s="64"/>
      <c r="I83" s="49">
        <f>N83/P83</f>
        <v>0</v>
      </c>
      <c r="J83" s="205" t="s">
        <v>95</v>
      </c>
      <c r="K83" s="205"/>
      <c r="L83" s="205"/>
      <c r="M83" s="205"/>
      <c r="N83" s="33">
        <f>COUNTIF($H84:$H98,TRUE)</f>
        <v>0</v>
      </c>
      <c r="O83" s="30" t="s">
        <v>92</v>
      </c>
      <c r="P83" s="57">
        <v>8</v>
      </c>
      <c r="Q83" s="43" t="s">
        <v>93</v>
      </c>
      <c r="R83" s="49">
        <f>V83/X83</f>
        <v>0</v>
      </c>
      <c r="S83" s="205" t="s">
        <v>83</v>
      </c>
      <c r="T83" s="205"/>
      <c r="U83" s="205"/>
      <c r="V83" s="33">
        <f>COUNTIF($Q84:$Q98,TRUE)</f>
        <v>0</v>
      </c>
      <c r="W83" s="30" t="s">
        <v>92</v>
      </c>
      <c r="X83" s="61">
        <v>8</v>
      </c>
    </row>
    <row r="84" spans="1:24" ht="15.75" customHeight="1">
      <c r="A84" s="6" t="s">
        <v>85</v>
      </c>
      <c r="B84" s="163" t="s">
        <v>165</v>
      </c>
      <c r="C84" s="163"/>
      <c r="D84" s="163"/>
      <c r="E84" s="36" t="s">
        <v>68</v>
      </c>
      <c r="F84" s="37" t="str">
        <f>IF($G84=$E$1,"","n")</f>
        <v/>
      </c>
      <c r="G84" s="88" t="s">
        <v>33</v>
      </c>
      <c r="H84" s="65" t="b">
        <v>0</v>
      </c>
      <c r="I84" s="42"/>
      <c r="J84" s="129" t="s">
        <v>101</v>
      </c>
      <c r="K84" s="129"/>
      <c r="L84" s="129"/>
      <c r="M84" s="129"/>
      <c r="N84" s="129"/>
      <c r="O84" s="129"/>
      <c r="P84" s="129"/>
      <c r="Q84" s="75" t="b">
        <v>0</v>
      </c>
      <c r="R84" s="50"/>
      <c r="S84" s="136" t="s">
        <v>101</v>
      </c>
      <c r="T84" s="136"/>
      <c r="U84" s="136"/>
      <c r="V84" s="136"/>
      <c r="W84" s="136"/>
      <c r="X84" s="188"/>
    </row>
    <row r="85" spans="1:24" ht="15" customHeight="1">
      <c r="A85" s="26" t="s">
        <v>86</v>
      </c>
      <c r="B85" s="164"/>
      <c r="C85" s="164"/>
      <c r="D85" s="164"/>
      <c r="E85" s="162" t="s">
        <v>87</v>
      </c>
      <c r="F85" s="162"/>
      <c r="G85" s="162"/>
      <c r="H85" s="72" t="b">
        <v>0</v>
      </c>
      <c r="I85" s="48"/>
      <c r="J85" s="189" t="s">
        <v>50</v>
      </c>
      <c r="K85" s="190"/>
      <c r="L85" s="190"/>
      <c r="M85" s="190"/>
      <c r="N85" s="190"/>
      <c r="O85" s="190"/>
      <c r="P85" s="190"/>
      <c r="Q85" s="184" t="b">
        <v>0</v>
      </c>
      <c r="R85" s="185"/>
      <c r="S85" s="190" t="s">
        <v>50</v>
      </c>
      <c r="T85" s="190"/>
      <c r="U85" s="190"/>
      <c r="V85" s="190"/>
      <c r="W85" s="190"/>
      <c r="X85" s="204"/>
    </row>
    <row r="86" spans="1:24" ht="15" customHeight="1">
      <c r="A86" s="26" t="s">
        <v>121</v>
      </c>
      <c r="B86" s="150">
        <v>5</v>
      </c>
      <c r="C86" s="150"/>
      <c r="D86" s="150"/>
      <c r="E86" s="162"/>
      <c r="F86" s="162"/>
      <c r="G86" s="162"/>
      <c r="H86" s="72"/>
      <c r="I86" s="48"/>
      <c r="J86" s="189"/>
      <c r="K86" s="190"/>
      <c r="L86" s="190"/>
      <c r="M86" s="190"/>
      <c r="N86" s="190"/>
      <c r="O86" s="190"/>
      <c r="P86" s="190"/>
      <c r="Q86" s="184"/>
      <c r="R86" s="185"/>
      <c r="S86" s="190"/>
      <c r="T86" s="190"/>
      <c r="U86" s="190"/>
      <c r="V86" s="190"/>
      <c r="W86" s="190"/>
      <c r="X86" s="204"/>
    </row>
    <row r="87" spans="1:24" ht="17.25" customHeight="1">
      <c r="A87" s="27" t="s">
        <v>109</v>
      </c>
      <c r="B87" s="160" t="s">
        <v>166</v>
      </c>
      <c r="C87" s="160"/>
      <c r="D87" s="160"/>
      <c r="E87" s="36" t="s">
        <v>69</v>
      </c>
      <c r="F87" s="37" t="str">
        <f>IF($G87=$E$1,"","n")</f>
        <v/>
      </c>
      <c r="G87" s="88" t="s">
        <v>33</v>
      </c>
      <c r="H87" s="72"/>
      <c r="I87" s="48"/>
      <c r="J87" s="189"/>
      <c r="K87" s="190"/>
      <c r="L87" s="190"/>
      <c r="M87" s="190"/>
      <c r="N87" s="190"/>
      <c r="O87" s="190"/>
      <c r="P87" s="190"/>
      <c r="Q87" s="184"/>
      <c r="R87" s="185"/>
      <c r="S87" s="190"/>
      <c r="T87" s="190"/>
      <c r="U87" s="190"/>
      <c r="V87" s="190"/>
      <c r="W87" s="190"/>
      <c r="X87" s="204"/>
    </row>
    <row r="88" spans="1:24" ht="15.75" customHeight="1">
      <c r="A88" s="28" t="s">
        <v>90</v>
      </c>
      <c r="B88" s="161" t="s">
        <v>63</v>
      </c>
      <c r="C88" s="161"/>
      <c r="D88" s="161"/>
      <c r="E88" s="162" t="s">
        <v>88</v>
      </c>
      <c r="F88" s="162"/>
      <c r="G88" s="162"/>
      <c r="H88" s="72" t="b">
        <v>0</v>
      </c>
      <c r="I88" s="48"/>
      <c r="J88" s="129" t="s">
        <v>102</v>
      </c>
      <c r="K88" s="129"/>
      <c r="L88" s="129"/>
      <c r="M88" s="129"/>
      <c r="N88" s="129"/>
      <c r="O88" s="129"/>
      <c r="P88" s="129"/>
      <c r="Q88" s="184" t="b">
        <v>0</v>
      </c>
      <c r="R88" s="185"/>
      <c r="S88" s="129" t="s">
        <v>102</v>
      </c>
      <c r="T88" s="129"/>
      <c r="U88" s="129"/>
      <c r="V88" s="129"/>
      <c r="W88" s="129"/>
      <c r="X88" s="187"/>
    </row>
    <row r="89" spans="1:24" ht="15" customHeight="1">
      <c r="A89" s="27" t="s">
        <v>110</v>
      </c>
      <c r="B89" s="160" t="s">
        <v>167</v>
      </c>
      <c r="C89" s="160"/>
      <c r="D89" s="160"/>
      <c r="E89" s="162"/>
      <c r="F89" s="162"/>
      <c r="G89" s="162"/>
      <c r="H89" s="72"/>
      <c r="I89" s="48"/>
      <c r="J89" s="129"/>
      <c r="K89" s="129"/>
      <c r="L89" s="129"/>
      <c r="M89" s="129"/>
      <c r="N89" s="129"/>
      <c r="O89" s="129"/>
      <c r="P89" s="129"/>
      <c r="Q89" s="184"/>
      <c r="R89" s="185"/>
      <c r="S89" s="129"/>
      <c r="T89" s="129"/>
      <c r="U89" s="129"/>
      <c r="V89" s="129"/>
      <c r="W89" s="129"/>
      <c r="X89" s="187"/>
    </row>
    <row r="90" spans="1:24" ht="15" customHeight="1">
      <c r="A90" s="6" t="s">
        <v>90</v>
      </c>
      <c r="B90" s="161" t="s">
        <v>63</v>
      </c>
      <c r="C90" s="161"/>
      <c r="D90" s="161"/>
      <c r="E90" s="36" t="s">
        <v>70</v>
      </c>
      <c r="F90" s="37" t="str">
        <f>IF($G90=$E$1,"","n")</f>
        <v/>
      </c>
      <c r="G90" s="88" t="s">
        <v>33</v>
      </c>
      <c r="H90" s="72" t="b">
        <v>0</v>
      </c>
      <c r="I90" s="48"/>
      <c r="J90" s="183" t="s">
        <v>103</v>
      </c>
      <c r="K90" s="183"/>
      <c r="L90" s="183"/>
      <c r="M90" s="183"/>
      <c r="N90" s="183"/>
      <c r="O90" s="183"/>
      <c r="P90" s="183"/>
      <c r="Q90" s="184" t="b">
        <v>0</v>
      </c>
      <c r="R90" s="185"/>
      <c r="S90" s="129" t="s">
        <v>103</v>
      </c>
      <c r="T90" s="129"/>
      <c r="U90" s="129"/>
      <c r="V90" s="129"/>
      <c r="W90" s="129"/>
      <c r="X90" s="187"/>
    </row>
    <row r="91" spans="1:24" ht="15" customHeight="1">
      <c r="A91" s="6" t="s">
        <v>91</v>
      </c>
      <c r="B91" s="203" t="s">
        <v>80</v>
      </c>
      <c r="C91" s="203"/>
      <c r="D91" s="203"/>
      <c r="E91" s="162" t="s">
        <v>89</v>
      </c>
      <c r="F91" s="162"/>
      <c r="G91" s="162"/>
      <c r="H91" s="72"/>
      <c r="I91" s="48"/>
      <c r="J91" s="183"/>
      <c r="K91" s="183"/>
      <c r="L91" s="183"/>
      <c r="M91" s="183"/>
      <c r="N91" s="183"/>
      <c r="O91" s="183"/>
      <c r="P91" s="183"/>
      <c r="Q91" s="184"/>
      <c r="R91" s="185"/>
      <c r="S91" s="129"/>
      <c r="T91" s="129"/>
      <c r="U91" s="129"/>
      <c r="V91" s="129"/>
      <c r="W91" s="129"/>
      <c r="X91" s="187"/>
    </row>
    <row r="92" spans="1:24" ht="15" customHeight="1">
      <c r="A92" s="3"/>
      <c r="B92" s="104">
        <f>EVI_Score1</f>
        <v>2016</v>
      </c>
      <c r="C92" s="104">
        <f>EVI_Score2</f>
        <v>2015</v>
      </c>
      <c r="D92" s="105">
        <f>EVI_Score3</f>
        <v>2014</v>
      </c>
      <c r="E92" s="162"/>
      <c r="F92" s="162"/>
      <c r="G92" s="162"/>
      <c r="H92" s="72" t="b">
        <v>0</v>
      </c>
      <c r="I92" s="48"/>
      <c r="J92" s="183" t="s">
        <v>104</v>
      </c>
      <c r="K92" s="183"/>
      <c r="L92" s="183"/>
      <c r="M92" s="183"/>
      <c r="N92" s="183"/>
      <c r="O92" s="183"/>
      <c r="P92" s="183"/>
      <c r="Q92" s="184" t="b">
        <v>0</v>
      </c>
      <c r="R92" s="185"/>
      <c r="S92" s="183" t="s">
        <v>104</v>
      </c>
      <c r="T92" s="183"/>
      <c r="U92" s="183"/>
      <c r="V92" s="183"/>
      <c r="W92" s="183"/>
      <c r="X92" s="186"/>
    </row>
    <row r="93" spans="1:24" ht="15.75">
      <c r="A93" s="7" t="s">
        <v>3</v>
      </c>
      <c r="B93" s="89">
        <v>80</v>
      </c>
      <c r="C93" s="89">
        <v>80</v>
      </c>
      <c r="D93" s="103">
        <v>54</v>
      </c>
      <c r="E93" s="38" t="s">
        <v>71</v>
      </c>
      <c r="F93" s="86"/>
      <c r="G93" s="86"/>
      <c r="H93" s="72"/>
      <c r="I93" s="48"/>
      <c r="J93" s="183"/>
      <c r="K93" s="183"/>
      <c r="L93" s="183"/>
      <c r="M93" s="183"/>
      <c r="N93" s="183"/>
      <c r="O93" s="183"/>
      <c r="P93" s="183"/>
      <c r="Q93" s="184"/>
      <c r="R93" s="185"/>
      <c r="S93" s="183"/>
      <c r="T93" s="183"/>
      <c r="U93" s="183"/>
      <c r="V93" s="183"/>
      <c r="W93" s="183"/>
      <c r="X93" s="186"/>
    </row>
    <row r="94" spans="1:24" ht="15.75" customHeight="1">
      <c r="B94" s="104">
        <f>PMP_Y1</f>
        <v>2015</v>
      </c>
      <c r="C94" s="104">
        <f>PMP_Y2</f>
        <v>2014</v>
      </c>
      <c r="D94" s="105">
        <f>PMP_Y3</f>
        <v>2013</v>
      </c>
      <c r="E94" s="36" t="s">
        <v>72</v>
      </c>
      <c r="F94" s="37" t="str">
        <f>IF($G94=$E$1,"","n")</f>
        <v/>
      </c>
      <c r="G94" s="88" t="s">
        <v>33</v>
      </c>
      <c r="H94" s="72" t="b">
        <v>0</v>
      </c>
      <c r="I94" s="48"/>
      <c r="J94" s="129" t="s">
        <v>56</v>
      </c>
      <c r="K94" s="129"/>
      <c r="L94" s="129"/>
      <c r="M94" s="129"/>
      <c r="N94" s="129"/>
      <c r="O94" s="129"/>
      <c r="P94" s="129"/>
      <c r="Q94" s="184" t="b">
        <v>0</v>
      </c>
      <c r="R94" s="185"/>
      <c r="S94" s="129" t="s">
        <v>56</v>
      </c>
      <c r="T94" s="129"/>
      <c r="U94" s="129"/>
      <c r="V94" s="129"/>
      <c r="W94" s="129"/>
      <c r="X94" s="187"/>
    </row>
    <row r="95" spans="1:24" ht="15.75" customHeight="1">
      <c r="A95" s="7" t="s">
        <v>4</v>
      </c>
      <c r="B95" s="106">
        <v>9</v>
      </c>
      <c r="C95" s="106">
        <v>9</v>
      </c>
      <c r="D95" s="107">
        <v>6</v>
      </c>
      <c r="E95" s="149" t="s">
        <v>122</v>
      </c>
      <c r="F95" s="149"/>
      <c r="G95" s="149"/>
      <c r="H95" s="72"/>
      <c r="I95" s="48"/>
      <c r="J95" s="129"/>
      <c r="K95" s="129"/>
      <c r="L95" s="129"/>
      <c r="M95" s="129"/>
      <c r="N95" s="129"/>
      <c r="O95" s="129"/>
      <c r="P95" s="129"/>
      <c r="Q95" s="184"/>
      <c r="R95" s="185"/>
      <c r="S95" s="129"/>
      <c r="T95" s="129"/>
      <c r="U95" s="129"/>
      <c r="V95" s="129"/>
      <c r="W95" s="129"/>
      <c r="X95" s="187"/>
    </row>
    <row r="96" spans="1:24" ht="15" customHeight="1">
      <c r="A96" s="131" t="s">
        <v>74</v>
      </c>
      <c r="B96" s="131"/>
      <c r="C96" s="131"/>
      <c r="D96" s="131"/>
      <c r="E96" s="149"/>
      <c r="F96" s="149"/>
      <c r="G96" s="149"/>
      <c r="H96" s="72" t="b">
        <v>0</v>
      </c>
      <c r="I96" s="48"/>
      <c r="J96" s="129" t="s">
        <v>57</v>
      </c>
      <c r="K96" s="129"/>
      <c r="L96" s="129"/>
      <c r="M96" s="129"/>
      <c r="N96" s="129"/>
      <c r="O96" s="129"/>
      <c r="P96" s="129"/>
      <c r="Q96" s="184" t="b">
        <v>0</v>
      </c>
      <c r="R96" s="185"/>
      <c r="S96" s="129" t="s">
        <v>57</v>
      </c>
      <c r="T96" s="129"/>
      <c r="U96" s="129"/>
      <c r="V96" s="129"/>
      <c r="W96" s="129"/>
      <c r="X96" s="187"/>
    </row>
    <row r="97" spans="1:24" ht="15.75">
      <c r="A97" s="192"/>
      <c r="B97" s="192"/>
      <c r="C97" s="192"/>
      <c r="D97" s="192"/>
      <c r="E97" s="36" t="s">
        <v>73</v>
      </c>
      <c r="F97" s="37" t="str">
        <f>IF($G97=$E$1,"","n")</f>
        <v/>
      </c>
      <c r="G97" s="88" t="s">
        <v>33</v>
      </c>
      <c r="H97" s="72"/>
      <c r="I97" s="48"/>
      <c r="J97" s="129"/>
      <c r="K97" s="129"/>
      <c r="L97" s="129"/>
      <c r="M97" s="129"/>
      <c r="N97" s="129"/>
      <c r="O97" s="129"/>
      <c r="P97" s="129"/>
      <c r="Q97" s="184"/>
      <c r="R97" s="185"/>
      <c r="S97" s="129"/>
      <c r="T97" s="129"/>
      <c r="U97" s="129"/>
      <c r="V97" s="129"/>
      <c r="W97" s="129"/>
      <c r="X97" s="187"/>
    </row>
    <row r="98" spans="1:24" ht="15.75" thickBot="1">
      <c r="A98" s="192"/>
      <c r="B98" s="192"/>
      <c r="C98" s="192"/>
      <c r="D98" s="192"/>
      <c r="E98" s="193" t="s">
        <v>78</v>
      </c>
      <c r="F98" s="193"/>
      <c r="G98" s="193"/>
      <c r="H98" s="67" t="b">
        <v>0</v>
      </c>
      <c r="I98" s="34"/>
      <c r="J98" s="194" t="s">
        <v>58</v>
      </c>
      <c r="K98" s="194"/>
      <c r="L98" s="194"/>
      <c r="M98" s="194"/>
      <c r="N98" s="194"/>
      <c r="O98" s="194"/>
      <c r="P98" s="194"/>
      <c r="Q98" s="76" t="b">
        <v>0</v>
      </c>
      <c r="R98" s="51"/>
      <c r="S98" s="32" t="s">
        <v>58</v>
      </c>
      <c r="T98" s="32"/>
      <c r="U98" s="32"/>
      <c r="V98" s="32"/>
      <c r="W98" s="32"/>
      <c r="X98" s="55"/>
    </row>
    <row r="99" spans="1:24" ht="15.75" customHeight="1" thickTop="1">
      <c r="A99" s="195" t="s">
        <v>96</v>
      </c>
      <c r="B99" s="195"/>
      <c r="C99" s="195"/>
      <c r="D99" s="195"/>
      <c r="E99" s="197" t="s">
        <v>100</v>
      </c>
      <c r="F99" s="197"/>
      <c r="G99" s="197"/>
      <c r="H99" s="71"/>
      <c r="I99" s="151" t="s">
        <v>84</v>
      </c>
      <c r="J99" s="152"/>
      <c r="K99" s="152"/>
      <c r="L99" s="152"/>
      <c r="M99" s="152"/>
      <c r="N99" s="152"/>
      <c r="O99" s="152"/>
      <c r="P99" s="153"/>
      <c r="Q99" s="45"/>
      <c r="R99" s="152" t="s">
        <v>77</v>
      </c>
      <c r="S99" s="152"/>
      <c r="T99" s="152"/>
      <c r="U99" s="152"/>
      <c r="V99" s="152"/>
      <c r="W99" s="152"/>
      <c r="X99" s="153"/>
    </row>
    <row r="100" spans="1:24">
      <c r="A100" s="195"/>
      <c r="B100" s="195"/>
      <c r="C100" s="195"/>
      <c r="D100" s="195"/>
      <c r="E100" s="198" t="s">
        <v>178</v>
      </c>
      <c r="F100" s="199"/>
      <c r="G100" s="200"/>
      <c r="H100" s="80"/>
      <c r="I100" s="173" t="s">
        <v>179</v>
      </c>
      <c r="J100" s="174"/>
      <c r="K100" s="174"/>
      <c r="L100" s="174"/>
      <c r="M100" s="174"/>
      <c r="N100" s="174"/>
      <c r="O100" s="174"/>
      <c r="P100" s="175"/>
      <c r="Q100" s="81"/>
      <c r="R100" s="169"/>
      <c r="S100" s="169"/>
      <c r="T100" s="169"/>
      <c r="U100" s="169"/>
      <c r="V100" s="169"/>
      <c r="W100" s="169"/>
      <c r="X100" s="170"/>
    </row>
    <row r="101" spans="1:24" ht="31.5" customHeight="1">
      <c r="A101" s="196"/>
      <c r="B101" s="196"/>
      <c r="C101" s="196"/>
      <c r="D101" s="196"/>
      <c r="E101" s="201"/>
      <c r="F101" s="201"/>
      <c r="G101" s="202"/>
      <c r="H101" s="82"/>
      <c r="I101" s="176"/>
      <c r="J101" s="177"/>
      <c r="K101" s="177"/>
      <c r="L101" s="177"/>
      <c r="M101" s="177"/>
      <c r="N101" s="177"/>
      <c r="O101" s="177"/>
      <c r="P101" s="178"/>
      <c r="Q101" s="83"/>
      <c r="R101" s="171"/>
      <c r="S101" s="171"/>
      <c r="T101" s="171"/>
      <c r="U101" s="171"/>
      <c r="V101" s="171"/>
      <c r="W101" s="171"/>
      <c r="X101" s="172"/>
    </row>
    <row r="102" spans="1:24" s="3" customFormat="1" ht="15.75" thickBot="1">
      <c r="H102" s="69"/>
      <c r="P102" s="31"/>
      <c r="Q102" s="31"/>
    </row>
    <row r="103" spans="1:24" s="3" customFormat="1" ht="15.75" thickTop="1">
      <c r="A103" s="39"/>
      <c r="B103" s="39"/>
      <c r="C103" s="39"/>
      <c r="D103" s="39"/>
      <c r="E103" s="166" t="s">
        <v>6</v>
      </c>
      <c r="F103" s="166"/>
      <c r="G103" s="167"/>
      <c r="H103" s="70"/>
      <c r="I103" s="47"/>
      <c r="J103" s="46" t="s">
        <v>82</v>
      </c>
      <c r="K103" s="46"/>
      <c r="L103" s="46"/>
      <c r="M103" s="46"/>
      <c r="N103" s="46"/>
      <c r="O103" s="46"/>
      <c r="P103" s="46"/>
      <c r="Q103" s="46"/>
      <c r="R103" s="46"/>
      <c r="S103" s="46"/>
      <c r="T103" s="46"/>
      <c r="U103" s="46"/>
      <c r="V103" s="46"/>
      <c r="W103" s="46"/>
      <c r="X103" s="47"/>
    </row>
    <row r="104" spans="1:24" ht="15.75" customHeight="1">
      <c r="A104" s="6" t="s">
        <v>108</v>
      </c>
      <c r="B104" s="168" t="s">
        <v>107</v>
      </c>
      <c r="C104" s="168"/>
      <c r="D104" s="168"/>
      <c r="E104" s="35" t="s">
        <v>67</v>
      </c>
      <c r="F104" s="35"/>
      <c r="G104" s="3"/>
      <c r="H104" s="64"/>
      <c r="I104" s="49">
        <f>N104/P104</f>
        <v>0</v>
      </c>
      <c r="J104" s="205" t="s">
        <v>95</v>
      </c>
      <c r="K104" s="205"/>
      <c r="L104" s="205"/>
      <c r="M104" s="205"/>
      <c r="N104" s="33">
        <f>COUNTIF($H105:$H119,TRUE)</f>
        <v>0</v>
      </c>
      <c r="O104" s="30" t="s">
        <v>92</v>
      </c>
      <c r="P104" s="57">
        <v>8</v>
      </c>
      <c r="Q104" s="43" t="s">
        <v>93</v>
      </c>
      <c r="R104" s="49">
        <f>V104/X104</f>
        <v>0</v>
      </c>
      <c r="S104" s="205" t="s">
        <v>83</v>
      </c>
      <c r="T104" s="205"/>
      <c r="U104" s="205"/>
      <c r="V104" s="33">
        <f>COUNTIF($Q105:$Q119,TRUE)</f>
        <v>0</v>
      </c>
      <c r="W104" s="30" t="s">
        <v>92</v>
      </c>
      <c r="X104" s="61">
        <v>8</v>
      </c>
    </row>
    <row r="105" spans="1:24" ht="15.75" customHeight="1">
      <c r="A105" s="6" t="s">
        <v>85</v>
      </c>
      <c r="B105" s="208" t="s">
        <v>169</v>
      </c>
      <c r="C105" s="208"/>
      <c r="D105" s="208"/>
      <c r="E105" s="36" t="s">
        <v>68</v>
      </c>
      <c r="F105" s="37" t="str">
        <f>IF($G105=$E$1,"","n")</f>
        <v/>
      </c>
      <c r="G105" s="88" t="s">
        <v>33</v>
      </c>
      <c r="H105" s="65" t="b">
        <v>0</v>
      </c>
      <c r="I105" s="42"/>
      <c r="J105" s="165" t="s">
        <v>101</v>
      </c>
      <c r="K105" s="129"/>
      <c r="L105" s="129"/>
      <c r="M105" s="129"/>
      <c r="N105" s="129"/>
      <c r="O105" s="129"/>
      <c r="P105" s="129"/>
      <c r="Q105" s="75" t="b">
        <v>0</v>
      </c>
      <c r="R105" s="50"/>
      <c r="S105" s="136" t="s">
        <v>101</v>
      </c>
      <c r="T105" s="136"/>
      <c r="U105" s="136"/>
      <c r="V105" s="136"/>
      <c r="W105" s="136"/>
      <c r="X105" s="188"/>
    </row>
    <row r="106" spans="1:24" ht="15" customHeight="1">
      <c r="A106" s="26" t="s">
        <v>86</v>
      </c>
      <c r="B106" s="164" t="s">
        <v>155</v>
      </c>
      <c r="C106" s="164"/>
      <c r="D106" s="164"/>
      <c r="E106" s="162" t="s">
        <v>87</v>
      </c>
      <c r="F106" s="162"/>
      <c r="G106" s="162"/>
      <c r="H106" s="72" t="b">
        <v>0</v>
      </c>
      <c r="I106" s="48"/>
      <c r="J106" s="189" t="s">
        <v>50</v>
      </c>
      <c r="K106" s="190"/>
      <c r="L106" s="190"/>
      <c r="M106" s="190"/>
      <c r="N106" s="190"/>
      <c r="O106" s="190"/>
      <c r="P106" s="190"/>
      <c r="Q106" s="184" t="b">
        <v>0</v>
      </c>
      <c r="R106" s="185"/>
      <c r="S106" s="190" t="s">
        <v>50</v>
      </c>
      <c r="T106" s="190"/>
      <c r="U106" s="190"/>
      <c r="V106" s="190"/>
      <c r="W106" s="190"/>
      <c r="X106" s="204"/>
    </row>
    <row r="107" spans="1:24" ht="15" customHeight="1">
      <c r="A107" s="26" t="s">
        <v>121</v>
      </c>
      <c r="B107" s="150">
        <v>8</v>
      </c>
      <c r="C107" s="150"/>
      <c r="D107" s="150"/>
      <c r="E107" s="162"/>
      <c r="F107" s="162"/>
      <c r="G107" s="162"/>
      <c r="H107" s="72"/>
      <c r="I107" s="48"/>
      <c r="J107" s="189"/>
      <c r="K107" s="190"/>
      <c r="L107" s="190"/>
      <c r="M107" s="190"/>
      <c r="N107" s="190"/>
      <c r="O107" s="190"/>
      <c r="P107" s="190"/>
      <c r="Q107" s="184"/>
      <c r="R107" s="185"/>
      <c r="S107" s="190"/>
      <c r="T107" s="190"/>
      <c r="U107" s="190"/>
      <c r="V107" s="190"/>
      <c r="W107" s="190"/>
      <c r="X107" s="204"/>
    </row>
    <row r="108" spans="1:24" ht="17.25" customHeight="1">
      <c r="A108" s="27" t="s">
        <v>109</v>
      </c>
      <c r="B108" s="160" t="s">
        <v>148</v>
      </c>
      <c r="C108" s="160"/>
      <c r="D108" s="160"/>
      <c r="E108" s="36" t="s">
        <v>69</v>
      </c>
      <c r="F108" s="37" t="str">
        <f>IF($G108=$E$1,"","n")</f>
        <v/>
      </c>
      <c r="G108" s="88" t="s">
        <v>33</v>
      </c>
      <c r="H108" s="72"/>
      <c r="I108" s="48"/>
      <c r="J108" s="189"/>
      <c r="K108" s="190"/>
      <c r="L108" s="190"/>
      <c r="M108" s="190"/>
      <c r="N108" s="190"/>
      <c r="O108" s="190"/>
      <c r="P108" s="190"/>
      <c r="Q108" s="184"/>
      <c r="R108" s="185"/>
      <c r="S108" s="190"/>
      <c r="T108" s="190"/>
      <c r="U108" s="190"/>
      <c r="V108" s="190"/>
      <c r="W108" s="190"/>
      <c r="X108" s="204"/>
    </row>
    <row r="109" spans="1:24" ht="15.75" customHeight="1">
      <c r="A109" s="28" t="s">
        <v>90</v>
      </c>
      <c r="B109" s="161" t="s">
        <v>65</v>
      </c>
      <c r="C109" s="161"/>
      <c r="D109" s="161"/>
      <c r="E109" s="162" t="s">
        <v>88</v>
      </c>
      <c r="F109" s="162"/>
      <c r="G109" s="162"/>
      <c r="H109" s="72" t="b">
        <v>0</v>
      </c>
      <c r="I109" s="48"/>
      <c r="J109" s="165" t="s">
        <v>102</v>
      </c>
      <c r="K109" s="129"/>
      <c r="L109" s="129"/>
      <c r="M109" s="129"/>
      <c r="N109" s="129"/>
      <c r="O109" s="129"/>
      <c r="P109" s="129"/>
      <c r="Q109" s="184" t="b">
        <v>0</v>
      </c>
      <c r="R109" s="185"/>
      <c r="S109" s="129" t="s">
        <v>102</v>
      </c>
      <c r="T109" s="129"/>
      <c r="U109" s="129"/>
      <c r="V109" s="129"/>
      <c r="W109" s="129"/>
      <c r="X109" s="187"/>
    </row>
    <row r="110" spans="1:24" ht="15" customHeight="1">
      <c r="A110" s="27" t="s">
        <v>110</v>
      </c>
      <c r="B110" s="160" t="s">
        <v>149</v>
      </c>
      <c r="C110" s="160"/>
      <c r="D110" s="160"/>
      <c r="E110" s="162"/>
      <c r="F110" s="162"/>
      <c r="G110" s="162"/>
      <c r="H110" s="72"/>
      <c r="I110" s="48"/>
      <c r="J110" s="165"/>
      <c r="K110" s="129"/>
      <c r="L110" s="129"/>
      <c r="M110" s="129"/>
      <c r="N110" s="129"/>
      <c r="O110" s="129"/>
      <c r="P110" s="129"/>
      <c r="Q110" s="184"/>
      <c r="R110" s="185"/>
      <c r="S110" s="129"/>
      <c r="T110" s="129"/>
      <c r="U110" s="129"/>
      <c r="V110" s="129"/>
      <c r="W110" s="129"/>
      <c r="X110" s="187"/>
    </row>
    <row r="111" spans="1:24" ht="15" customHeight="1">
      <c r="A111" s="6" t="s">
        <v>90</v>
      </c>
      <c r="B111" s="161" t="s">
        <v>65</v>
      </c>
      <c r="C111" s="161"/>
      <c r="D111" s="161"/>
      <c r="E111" s="36" t="s">
        <v>70</v>
      </c>
      <c r="F111" s="37" t="str">
        <f>IF($G111=$E$1,"","n")</f>
        <v/>
      </c>
      <c r="G111" s="88" t="s">
        <v>33</v>
      </c>
      <c r="H111" s="72" t="b">
        <v>0</v>
      </c>
      <c r="I111" s="48"/>
      <c r="J111" s="207" t="s">
        <v>103</v>
      </c>
      <c r="K111" s="183"/>
      <c r="L111" s="183"/>
      <c r="M111" s="183"/>
      <c r="N111" s="183"/>
      <c r="O111" s="183"/>
      <c r="P111" s="183"/>
      <c r="Q111" s="184" t="b">
        <v>0</v>
      </c>
      <c r="R111" s="185"/>
      <c r="S111" s="129" t="s">
        <v>103</v>
      </c>
      <c r="T111" s="129"/>
      <c r="U111" s="129"/>
      <c r="V111" s="129"/>
      <c r="W111" s="129"/>
      <c r="X111" s="187"/>
    </row>
    <row r="112" spans="1:24" ht="15" customHeight="1">
      <c r="A112" s="6" t="s">
        <v>91</v>
      </c>
      <c r="B112" s="203" t="s">
        <v>81</v>
      </c>
      <c r="C112" s="203"/>
      <c r="D112" s="203"/>
      <c r="E112" s="162" t="s">
        <v>89</v>
      </c>
      <c r="F112" s="162"/>
      <c r="G112" s="162"/>
      <c r="H112" s="72"/>
      <c r="I112" s="48"/>
      <c r="J112" s="207"/>
      <c r="K112" s="183"/>
      <c r="L112" s="183"/>
      <c r="M112" s="183"/>
      <c r="N112" s="183"/>
      <c r="O112" s="183"/>
      <c r="P112" s="183"/>
      <c r="Q112" s="184"/>
      <c r="R112" s="185"/>
      <c r="S112" s="129"/>
      <c r="T112" s="129"/>
      <c r="U112" s="129"/>
      <c r="V112" s="129"/>
      <c r="W112" s="129"/>
      <c r="X112" s="187"/>
    </row>
    <row r="113" spans="1:24" ht="15" customHeight="1">
      <c r="A113" s="3"/>
      <c r="B113" s="104">
        <f>EVI_Score1</f>
        <v>2016</v>
      </c>
      <c r="C113" s="104">
        <f>EVI_Score2</f>
        <v>2015</v>
      </c>
      <c r="D113" s="105">
        <f>EVI_Score3</f>
        <v>2014</v>
      </c>
      <c r="E113" s="162"/>
      <c r="F113" s="162"/>
      <c r="G113" s="162"/>
      <c r="H113" s="72" t="b">
        <v>0</v>
      </c>
      <c r="I113" s="48"/>
      <c r="J113" s="207" t="s">
        <v>104</v>
      </c>
      <c r="K113" s="183"/>
      <c r="L113" s="183"/>
      <c r="M113" s="183"/>
      <c r="N113" s="183"/>
      <c r="O113" s="183"/>
      <c r="P113" s="183"/>
      <c r="Q113" s="184" t="b">
        <v>0</v>
      </c>
      <c r="R113" s="185"/>
      <c r="S113" s="183" t="s">
        <v>104</v>
      </c>
      <c r="T113" s="183"/>
      <c r="U113" s="183"/>
      <c r="V113" s="183"/>
      <c r="W113" s="183"/>
      <c r="X113" s="186"/>
    </row>
    <row r="114" spans="1:24" ht="15.75">
      <c r="A114" s="7" t="s">
        <v>3</v>
      </c>
      <c r="B114" s="89">
        <v>100</v>
      </c>
      <c r="C114" s="89">
        <v>90</v>
      </c>
      <c r="D114" s="103" t="s">
        <v>30</v>
      </c>
      <c r="E114" s="38" t="s">
        <v>71</v>
      </c>
      <c r="F114" s="86"/>
      <c r="G114" s="86"/>
      <c r="H114" s="72"/>
      <c r="I114" s="48"/>
      <c r="J114" s="207"/>
      <c r="K114" s="183"/>
      <c r="L114" s="183"/>
      <c r="M114" s="183"/>
      <c r="N114" s="183"/>
      <c r="O114" s="183"/>
      <c r="P114" s="183"/>
      <c r="Q114" s="184"/>
      <c r="R114" s="185"/>
      <c r="S114" s="183"/>
      <c r="T114" s="183"/>
      <c r="U114" s="183"/>
      <c r="V114" s="183"/>
      <c r="W114" s="183"/>
      <c r="X114" s="186"/>
    </row>
    <row r="115" spans="1:24" ht="15.75" customHeight="1">
      <c r="B115" s="104">
        <f>PMP_Y1</f>
        <v>2015</v>
      </c>
      <c r="C115" s="104">
        <f>PMP_Y2</f>
        <v>2014</v>
      </c>
      <c r="D115" s="105">
        <f>PMP_Y3</f>
        <v>2013</v>
      </c>
      <c r="E115" s="36" t="s">
        <v>72</v>
      </c>
      <c r="F115" s="37" t="str">
        <f>IF($G115=$E$1,"","n")</f>
        <v/>
      </c>
      <c r="G115" s="88" t="s">
        <v>33</v>
      </c>
      <c r="H115" s="72" t="b">
        <v>0</v>
      </c>
      <c r="I115" s="48"/>
      <c r="J115" s="165" t="s">
        <v>56</v>
      </c>
      <c r="K115" s="129"/>
      <c r="L115" s="129"/>
      <c r="M115" s="129"/>
      <c r="N115" s="129"/>
      <c r="O115" s="129"/>
      <c r="P115" s="129"/>
      <c r="Q115" s="184" t="b">
        <v>0</v>
      </c>
      <c r="R115" s="185"/>
      <c r="S115" s="129" t="s">
        <v>56</v>
      </c>
      <c r="T115" s="129"/>
      <c r="U115" s="129"/>
      <c r="V115" s="129"/>
      <c r="W115" s="129"/>
      <c r="X115" s="187"/>
    </row>
    <row r="116" spans="1:24" ht="15.75" customHeight="1">
      <c r="A116" s="7" t="s">
        <v>4</v>
      </c>
      <c r="B116" s="29">
        <v>6</v>
      </c>
      <c r="C116" s="29">
        <v>6</v>
      </c>
      <c r="D116" s="102">
        <v>6</v>
      </c>
      <c r="E116" s="149" t="s">
        <v>122</v>
      </c>
      <c r="F116" s="149"/>
      <c r="G116" s="149"/>
      <c r="H116" s="72"/>
      <c r="I116" s="48"/>
      <c r="J116" s="165"/>
      <c r="K116" s="129"/>
      <c r="L116" s="129"/>
      <c r="M116" s="129"/>
      <c r="N116" s="129"/>
      <c r="O116" s="129"/>
      <c r="P116" s="129"/>
      <c r="Q116" s="184"/>
      <c r="R116" s="185"/>
      <c r="S116" s="129"/>
      <c r="T116" s="129"/>
      <c r="U116" s="129"/>
      <c r="V116" s="129"/>
      <c r="W116" s="129"/>
      <c r="X116" s="187"/>
    </row>
    <row r="117" spans="1:24" ht="15" customHeight="1">
      <c r="A117" s="131" t="s">
        <v>74</v>
      </c>
      <c r="B117" s="131"/>
      <c r="C117" s="131"/>
      <c r="D117" s="131"/>
      <c r="E117" s="149"/>
      <c r="F117" s="149"/>
      <c r="G117" s="149"/>
      <c r="H117" s="72" t="b">
        <v>0</v>
      </c>
      <c r="I117" s="48"/>
      <c r="J117" s="165" t="s">
        <v>57</v>
      </c>
      <c r="K117" s="129"/>
      <c r="L117" s="129"/>
      <c r="M117" s="129"/>
      <c r="N117" s="129"/>
      <c r="O117" s="129"/>
      <c r="P117" s="129"/>
      <c r="Q117" s="184" t="b">
        <v>0</v>
      </c>
      <c r="R117" s="185"/>
      <c r="S117" s="129" t="s">
        <v>57</v>
      </c>
      <c r="T117" s="129"/>
      <c r="U117" s="129"/>
      <c r="V117" s="129"/>
      <c r="W117" s="129"/>
      <c r="X117" s="187"/>
    </row>
    <row r="118" spans="1:24" ht="15.75">
      <c r="A118" s="192"/>
      <c r="B118" s="192"/>
      <c r="C118" s="192"/>
      <c r="D118" s="192"/>
      <c r="E118" s="36" t="s">
        <v>73</v>
      </c>
      <c r="F118" s="37" t="str">
        <f>IF($G118=$E$1,"","n")</f>
        <v/>
      </c>
      <c r="G118" s="88" t="s">
        <v>33</v>
      </c>
      <c r="H118" s="72"/>
      <c r="I118" s="48"/>
      <c r="J118" s="165"/>
      <c r="K118" s="129"/>
      <c r="L118" s="129"/>
      <c r="M118" s="129"/>
      <c r="N118" s="129"/>
      <c r="O118" s="129"/>
      <c r="P118" s="129"/>
      <c r="Q118" s="184"/>
      <c r="R118" s="185"/>
      <c r="S118" s="129"/>
      <c r="T118" s="129"/>
      <c r="U118" s="129"/>
      <c r="V118" s="129"/>
      <c r="W118" s="129"/>
      <c r="X118" s="187"/>
    </row>
    <row r="119" spans="1:24" ht="15.75" thickBot="1">
      <c r="A119" s="192"/>
      <c r="B119" s="192"/>
      <c r="C119" s="192"/>
      <c r="D119" s="192"/>
      <c r="E119" s="193" t="s">
        <v>78</v>
      </c>
      <c r="F119" s="193"/>
      <c r="G119" s="193"/>
      <c r="H119" s="67" t="b">
        <v>0</v>
      </c>
      <c r="I119" s="34"/>
      <c r="J119" s="206" t="s">
        <v>58</v>
      </c>
      <c r="K119" s="194"/>
      <c r="L119" s="194"/>
      <c r="M119" s="194"/>
      <c r="N119" s="194"/>
      <c r="O119" s="194"/>
      <c r="P119" s="194"/>
      <c r="Q119" s="76" t="b">
        <v>0</v>
      </c>
      <c r="R119" s="51"/>
      <c r="S119" s="32" t="s">
        <v>58</v>
      </c>
      <c r="T119" s="32"/>
      <c r="U119" s="32"/>
      <c r="V119" s="32"/>
      <c r="W119" s="32"/>
      <c r="X119" s="55"/>
    </row>
    <row r="120" spans="1:24" ht="15.75" customHeight="1" thickTop="1">
      <c r="A120" s="195" t="s">
        <v>96</v>
      </c>
      <c r="B120" s="195"/>
      <c r="C120" s="195"/>
      <c r="D120" s="195"/>
      <c r="E120" s="197" t="s">
        <v>100</v>
      </c>
      <c r="F120" s="197"/>
      <c r="G120" s="197"/>
      <c r="H120" s="71"/>
      <c r="I120" s="151" t="s">
        <v>84</v>
      </c>
      <c r="J120" s="152"/>
      <c r="K120" s="152"/>
      <c r="L120" s="152"/>
      <c r="M120" s="152"/>
      <c r="N120" s="152"/>
      <c r="O120" s="152"/>
      <c r="P120" s="153"/>
      <c r="Q120" s="45"/>
      <c r="R120" s="152" t="s">
        <v>77</v>
      </c>
      <c r="S120" s="152"/>
      <c r="T120" s="152"/>
      <c r="U120" s="152"/>
      <c r="V120" s="152"/>
      <c r="W120" s="152"/>
      <c r="X120" s="153"/>
    </row>
    <row r="121" spans="1:24">
      <c r="A121" s="195"/>
      <c r="B121" s="195"/>
      <c r="C121" s="195"/>
      <c r="D121" s="195"/>
      <c r="E121" s="198" t="s">
        <v>180</v>
      </c>
      <c r="F121" s="199"/>
      <c r="G121" s="200"/>
      <c r="H121" s="90"/>
      <c r="I121" s="154" t="s">
        <v>181</v>
      </c>
      <c r="J121" s="155"/>
      <c r="K121" s="155"/>
      <c r="L121" s="155"/>
      <c r="M121" s="155"/>
      <c r="N121" s="155"/>
      <c r="O121" s="155"/>
      <c r="P121" s="156"/>
      <c r="Q121" s="91"/>
      <c r="R121" s="179"/>
      <c r="S121" s="179"/>
      <c r="T121" s="179"/>
      <c r="U121" s="179"/>
      <c r="V121" s="179"/>
      <c r="W121" s="179"/>
      <c r="X121" s="180"/>
    </row>
    <row r="122" spans="1:24" ht="31.5" customHeight="1">
      <c r="A122" s="196"/>
      <c r="B122" s="196"/>
      <c r="C122" s="196"/>
      <c r="D122" s="196"/>
      <c r="E122" s="201"/>
      <c r="F122" s="201"/>
      <c r="G122" s="202"/>
      <c r="H122" s="92"/>
      <c r="I122" s="157"/>
      <c r="J122" s="158"/>
      <c r="K122" s="158"/>
      <c r="L122" s="158"/>
      <c r="M122" s="158"/>
      <c r="N122" s="158"/>
      <c r="O122" s="158"/>
      <c r="P122" s="159"/>
      <c r="Q122" s="93"/>
      <c r="R122" s="181"/>
      <c r="S122" s="181"/>
      <c r="T122" s="181"/>
      <c r="U122" s="181"/>
      <c r="V122" s="181"/>
      <c r="W122" s="181"/>
      <c r="X122" s="182"/>
    </row>
    <row r="123" spans="1:24" s="3" customFormat="1" ht="15.75" thickBot="1">
      <c r="H123" s="69"/>
      <c r="P123" s="31"/>
      <c r="Q123" s="31"/>
    </row>
    <row r="124" spans="1:24" s="3" customFormat="1" ht="15.75" thickTop="1">
      <c r="A124" s="39"/>
      <c r="B124" s="39"/>
      <c r="C124" s="39"/>
      <c r="D124" s="39"/>
      <c r="E124" s="166" t="s">
        <v>6</v>
      </c>
      <c r="F124" s="166"/>
      <c r="G124" s="167"/>
      <c r="H124" s="70"/>
      <c r="I124" s="47"/>
      <c r="J124" s="46" t="s">
        <v>82</v>
      </c>
      <c r="K124" s="46"/>
      <c r="L124" s="46"/>
      <c r="M124" s="46"/>
      <c r="N124" s="46"/>
      <c r="O124" s="46"/>
      <c r="P124" s="46"/>
      <c r="Q124" s="46"/>
      <c r="R124" s="46"/>
      <c r="S124" s="46"/>
      <c r="T124" s="46"/>
      <c r="U124" s="46"/>
      <c r="V124" s="46"/>
      <c r="W124" s="46"/>
      <c r="X124" s="47"/>
    </row>
    <row r="125" spans="1:24" ht="15.75" customHeight="1">
      <c r="A125" s="6" t="s">
        <v>108</v>
      </c>
      <c r="B125" s="168" t="s">
        <v>107</v>
      </c>
      <c r="C125" s="168"/>
      <c r="D125" s="168"/>
      <c r="E125" s="35" t="s">
        <v>67</v>
      </c>
      <c r="F125" s="35"/>
      <c r="G125" s="3"/>
      <c r="H125" s="64"/>
      <c r="I125" s="49">
        <f>N125/P125</f>
        <v>0</v>
      </c>
      <c r="J125" s="205" t="s">
        <v>95</v>
      </c>
      <c r="K125" s="205"/>
      <c r="L125" s="205"/>
      <c r="M125" s="205"/>
      <c r="N125" s="33">
        <f>COUNTIF($H126:$H140,TRUE)</f>
        <v>0</v>
      </c>
      <c r="O125" s="30" t="s">
        <v>92</v>
      </c>
      <c r="P125" s="57">
        <v>8</v>
      </c>
      <c r="Q125" s="43" t="s">
        <v>93</v>
      </c>
      <c r="R125" s="49">
        <f>V125/X125</f>
        <v>0</v>
      </c>
      <c r="S125" s="205" t="s">
        <v>83</v>
      </c>
      <c r="T125" s="205"/>
      <c r="U125" s="205"/>
      <c r="V125" s="33">
        <f>COUNTIF($Q126:$Q140,TRUE)</f>
        <v>0</v>
      </c>
      <c r="W125" s="30" t="s">
        <v>92</v>
      </c>
      <c r="X125" s="61">
        <v>8</v>
      </c>
    </row>
    <row r="126" spans="1:24" ht="15.75" customHeight="1">
      <c r="A126" s="6" t="s">
        <v>85</v>
      </c>
      <c r="B126" s="163" t="s">
        <v>168</v>
      </c>
      <c r="C126" s="163"/>
      <c r="D126" s="163"/>
      <c r="E126" s="36" t="s">
        <v>68</v>
      </c>
      <c r="F126" s="37" t="str">
        <f>IF($G126=$E$1,"","n")</f>
        <v/>
      </c>
      <c r="G126" s="88" t="s">
        <v>33</v>
      </c>
      <c r="H126" s="65" t="b">
        <v>0</v>
      </c>
      <c r="I126" s="42"/>
      <c r="J126" s="129" t="s">
        <v>101</v>
      </c>
      <c r="K126" s="129"/>
      <c r="L126" s="129"/>
      <c r="M126" s="129"/>
      <c r="N126" s="129"/>
      <c r="O126" s="129"/>
      <c r="P126" s="129"/>
      <c r="Q126" s="75" t="b">
        <v>0</v>
      </c>
      <c r="R126" s="50"/>
      <c r="S126" s="136" t="s">
        <v>101</v>
      </c>
      <c r="T126" s="136"/>
      <c r="U126" s="136"/>
      <c r="V126" s="136"/>
      <c r="W126" s="136"/>
      <c r="X126" s="188"/>
    </row>
    <row r="127" spans="1:24" ht="15" customHeight="1">
      <c r="A127" s="26" t="s">
        <v>86</v>
      </c>
      <c r="B127" s="164"/>
      <c r="C127" s="164"/>
      <c r="D127" s="164"/>
      <c r="E127" s="162" t="s">
        <v>87</v>
      </c>
      <c r="F127" s="162"/>
      <c r="G127" s="162"/>
      <c r="H127" s="72" t="b">
        <v>0</v>
      </c>
      <c r="I127" s="48"/>
      <c r="J127" s="189" t="s">
        <v>50</v>
      </c>
      <c r="K127" s="190"/>
      <c r="L127" s="190"/>
      <c r="M127" s="190"/>
      <c r="N127" s="190"/>
      <c r="O127" s="190"/>
      <c r="P127" s="190"/>
      <c r="Q127" s="184" t="b">
        <v>0</v>
      </c>
      <c r="R127" s="185"/>
      <c r="S127" s="190" t="s">
        <v>50</v>
      </c>
      <c r="T127" s="190"/>
      <c r="U127" s="190"/>
      <c r="V127" s="190"/>
      <c r="W127" s="190"/>
      <c r="X127" s="204"/>
    </row>
    <row r="128" spans="1:24" ht="15" customHeight="1">
      <c r="A128" s="26" t="s">
        <v>121</v>
      </c>
      <c r="B128" s="150">
        <v>3</v>
      </c>
      <c r="C128" s="150"/>
      <c r="D128" s="150"/>
      <c r="E128" s="162"/>
      <c r="F128" s="162"/>
      <c r="G128" s="162"/>
      <c r="H128" s="72"/>
      <c r="I128" s="48"/>
      <c r="J128" s="189"/>
      <c r="K128" s="190"/>
      <c r="L128" s="190"/>
      <c r="M128" s="190"/>
      <c r="N128" s="190"/>
      <c r="O128" s="190"/>
      <c r="P128" s="190"/>
      <c r="Q128" s="184"/>
      <c r="R128" s="185"/>
      <c r="S128" s="190"/>
      <c r="T128" s="190"/>
      <c r="U128" s="190"/>
      <c r="V128" s="190"/>
      <c r="W128" s="190"/>
      <c r="X128" s="204"/>
    </row>
    <row r="129" spans="1:24" ht="17.25" customHeight="1">
      <c r="A129" s="27" t="s">
        <v>109</v>
      </c>
      <c r="B129" s="160" t="s">
        <v>160</v>
      </c>
      <c r="C129" s="160"/>
      <c r="D129" s="160"/>
      <c r="E129" s="36" t="s">
        <v>69</v>
      </c>
      <c r="F129" s="37" t="str">
        <f>IF($G129=$E$1,"","n")</f>
        <v/>
      </c>
      <c r="G129" s="88" t="s">
        <v>33</v>
      </c>
      <c r="H129" s="72"/>
      <c r="I129" s="48"/>
      <c r="J129" s="189"/>
      <c r="K129" s="190"/>
      <c r="L129" s="190"/>
      <c r="M129" s="190"/>
      <c r="N129" s="190"/>
      <c r="O129" s="190"/>
      <c r="P129" s="190"/>
      <c r="Q129" s="184"/>
      <c r="R129" s="185"/>
      <c r="S129" s="190"/>
      <c r="T129" s="190"/>
      <c r="U129" s="190"/>
      <c r="V129" s="190"/>
      <c r="W129" s="190"/>
      <c r="X129" s="204"/>
    </row>
    <row r="130" spans="1:24" ht="15.75" customHeight="1">
      <c r="A130" s="28" t="s">
        <v>90</v>
      </c>
      <c r="B130" s="161" t="s">
        <v>65</v>
      </c>
      <c r="C130" s="161"/>
      <c r="D130" s="161"/>
      <c r="E130" s="162" t="s">
        <v>88</v>
      </c>
      <c r="F130" s="162"/>
      <c r="G130" s="162"/>
      <c r="H130" s="72" t="b">
        <v>0</v>
      </c>
      <c r="I130" s="48"/>
      <c r="J130" s="129" t="s">
        <v>102</v>
      </c>
      <c r="K130" s="129"/>
      <c r="L130" s="129"/>
      <c r="M130" s="129"/>
      <c r="N130" s="129"/>
      <c r="O130" s="129"/>
      <c r="P130" s="129"/>
      <c r="Q130" s="184" t="b">
        <v>0</v>
      </c>
      <c r="R130" s="185"/>
      <c r="S130" s="129" t="s">
        <v>102</v>
      </c>
      <c r="T130" s="129"/>
      <c r="U130" s="129"/>
      <c r="V130" s="129"/>
      <c r="W130" s="129"/>
      <c r="X130" s="187"/>
    </row>
    <row r="131" spans="1:24" ht="15" customHeight="1">
      <c r="A131" s="27" t="s">
        <v>110</v>
      </c>
      <c r="B131" s="160" t="s">
        <v>161</v>
      </c>
      <c r="C131" s="160"/>
      <c r="D131" s="160"/>
      <c r="E131" s="162"/>
      <c r="F131" s="162"/>
      <c r="G131" s="162"/>
      <c r="H131" s="72"/>
      <c r="I131" s="48"/>
      <c r="J131" s="129"/>
      <c r="K131" s="129"/>
      <c r="L131" s="129"/>
      <c r="M131" s="129"/>
      <c r="N131" s="129"/>
      <c r="O131" s="129"/>
      <c r="P131" s="129"/>
      <c r="Q131" s="184"/>
      <c r="R131" s="185"/>
      <c r="S131" s="129"/>
      <c r="T131" s="129"/>
      <c r="U131" s="129"/>
      <c r="V131" s="129"/>
      <c r="W131" s="129"/>
      <c r="X131" s="187"/>
    </row>
    <row r="132" spans="1:24" ht="15" customHeight="1">
      <c r="A132" s="6" t="s">
        <v>90</v>
      </c>
      <c r="B132" s="161" t="s">
        <v>64</v>
      </c>
      <c r="C132" s="161"/>
      <c r="D132" s="161"/>
      <c r="E132" s="36" t="s">
        <v>70</v>
      </c>
      <c r="F132" s="37" t="str">
        <f>IF($G132=$E$1,"","n")</f>
        <v/>
      </c>
      <c r="G132" s="88" t="s">
        <v>33</v>
      </c>
      <c r="H132" s="72" t="b">
        <v>0</v>
      </c>
      <c r="I132" s="48"/>
      <c r="J132" s="183" t="s">
        <v>103</v>
      </c>
      <c r="K132" s="183"/>
      <c r="L132" s="183"/>
      <c r="M132" s="183"/>
      <c r="N132" s="183"/>
      <c r="O132" s="183"/>
      <c r="P132" s="183"/>
      <c r="Q132" s="184" t="b">
        <v>0</v>
      </c>
      <c r="R132" s="185"/>
      <c r="S132" s="129" t="s">
        <v>103</v>
      </c>
      <c r="T132" s="129"/>
      <c r="U132" s="129"/>
      <c r="V132" s="129"/>
      <c r="W132" s="129"/>
      <c r="X132" s="187"/>
    </row>
    <row r="133" spans="1:24" ht="15" customHeight="1">
      <c r="A133" s="6" t="s">
        <v>91</v>
      </c>
      <c r="B133" s="203" t="s">
        <v>80</v>
      </c>
      <c r="C133" s="203"/>
      <c r="D133" s="203"/>
      <c r="E133" s="162" t="s">
        <v>89</v>
      </c>
      <c r="F133" s="162"/>
      <c r="G133" s="162"/>
      <c r="H133" s="72"/>
      <c r="I133" s="48"/>
      <c r="J133" s="183"/>
      <c r="K133" s="183"/>
      <c r="L133" s="183"/>
      <c r="M133" s="183"/>
      <c r="N133" s="183"/>
      <c r="O133" s="183"/>
      <c r="P133" s="183"/>
      <c r="Q133" s="184"/>
      <c r="R133" s="185"/>
      <c r="S133" s="129"/>
      <c r="T133" s="129"/>
      <c r="U133" s="129"/>
      <c r="V133" s="129"/>
      <c r="W133" s="129"/>
      <c r="X133" s="187"/>
    </row>
    <row r="134" spans="1:24" ht="15" customHeight="1">
      <c r="A134" s="3"/>
      <c r="B134" s="104">
        <f>EVI_Score1</f>
        <v>2016</v>
      </c>
      <c r="C134" s="104">
        <f>EVI_Score2</f>
        <v>2015</v>
      </c>
      <c r="D134" s="105">
        <f>EVI_Score3</f>
        <v>2014</v>
      </c>
      <c r="E134" s="162"/>
      <c r="F134" s="162"/>
      <c r="G134" s="162"/>
      <c r="H134" s="72" t="b">
        <v>0</v>
      </c>
      <c r="I134" s="48"/>
      <c r="J134" s="183" t="s">
        <v>104</v>
      </c>
      <c r="K134" s="183"/>
      <c r="L134" s="183"/>
      <c r="M134" s="183"/>
      <c r="N134" s="183"/>
      <c r="O134" s="183"/>
      <c r="P134" s="183"/>
      <c r="Q134" s="184" t="b">
        <v>0</v>
      </c>
      <c r="R134" s="185"/>
      <c r="S134" s="183" t="s">
        <v>104</v>
      </c>
      <c r="T134" s="183"/>
      <c r="U134" s="183"/>
      <c r="V134" s="183"/>
      <c r="W134" s="183"/>
      <c r="X134" s="186"/>
    </row>
    <row r="135" spans="1:24" ht="15.75">
      <c r="A135" s="7" t="s">
        <v>3</v>
      </c>
      <c r="B135" s="89">
        <v>56</v>
      </c>
      <c r="C135" s="89">
        <v>50</v>
      </c>
      <c r="D135" s="103">
        <v>23</v>
      </c>
      <c r="E135" s="38" t="s">
        <v>71</v>
      </c>
      <c r="F135" s="86"/>
      <c r="G135" s="86"/>
      <c r="H135" s="72"/>
      <c r="I135" s="48"/>
      <c r="J135" s="183"/>
      <c r="K135" s="183"/>
      <c r="L135" s="183"/>
      <c r="M135" s="183"/>
      <c r="N135" s="183"/>
      <c r="O135" s="183"/>
      <c r="P135" s="183"/>
      <c r="Q135" s="184"/>
      <c r="R135" s="185"/>
      <c r="S135" s="183"/>
      <c r="T135" s="183"/>
      <c r="U135" s="183"/>
      <c r="V135" s="183"/>
      <c r="W135" s="183"/>
      <c r="X135" s="186"/>
    </row>
    <row r="136" spans="1:24" ht="15.75" customHeight="1">
      <c r="B136" s="104">
        <f>PMP_Y1</f>
        <v>2015</v>
      </c>
      <c r="C136" s="104">
        <f>PMP_Y2</f>
        <v>2014</v>
      </c>
      <c r="D136" s="105">
        <f>PMP_Y3</f>
        <v>2013</v>
      </c>
      <c r="E136" s="36" t="s">
        <v>72</v>
      </c>
      <c r="F136" s="37" t="str">
        <f>IF($G136=$E$1,"","n")</f>
        <v/>
      </c>
      <c r="G136" s="88" t="s">
        <v>33</v>
      </c>
      <c r="H136" s="72" t="b">
        <v>0</v>
      </c>
      <c r="I136" s="48"/>
      <c r="J136" s="129" t="s">
        <v>56</v>
      </c>
      <c r="K136" s="129"/>
      <c r="L136" s="129"/>
      <c r="M136" s="129"/>
      <c r="N136" s="129"/>
      <c r="O136" s="129"/>
      <c r="P136" s="129"/>
      <c r="Q136" s="184" t="b">
        <v>0</v>
      </c>
      <c r="R136" s="185"/>
      <c r="S136" s="129" t="s">
        <v>56</v>
      </c>
      <c r="T136" s="129"/>
      <c r="U136" s="129"/>
      <c r="V136" s="129"/>
      <c r="W136" s="129"/>
      <c r="X136" s="187"/>
    </row>
    <row r="137" spans="1:24" ht="15.75" customHeight="1">
      <c r="A137" s="7" t="s">
        <v>4</v>
      </c>
      <c r="B137" s="29">
        <v>4</v>
      </c>
      <c r="C137" s="29" t="s">
        <v>30</v>
      </c>
      <c r="D137" s="102">
        <v>6</v>
      </c>
      <c r="E137" s="149" t="s">
        <v>122</v>
      </c>
      <c r="F137" s="149"/>
      <c r="G137" s="149"/>
      <c r="H137" s="72"/>
      <c r="I137" s="48"/>
      <c r="J137" s="129"/>
      <c r="K137" s="129"/>
      <c r="L137" s="129"/>
      <c r="M137" s="129"/>
      <c r="N137" s="129"/>
      <c r="O137" s="129"/>
      <c r="P137" s="129"/>
      <c r="Q137" s="184"/>
      <c r="R137" s="185"/>
      <c r="S137" s="129"/>
      <c r="T137" s="129"/>
      <c r="U137" s="129"/>
      <c r="V137" s="129"/>
      <c r="W137" s="129"/>
      <c r="X137" s="187"/>
    </row>
    <row r="138" spans="1:24" ht="15" customHeight="1">
      <c r="A138" s="131" t="s">
        <v>74</v>
      </c>
      <c r="B138" s="131"/>
      <c r="C138" s="131"/>
      <c r="D138" s="131"/>
      <c r="E138" s="149"/>
      <c r="F138" s="149"/>
      <c r="G138" s="149"/>
      <c r="H138" s="72" t="b">
        <v>0</v>
      </c>
      <c r="I138" s="48"/>
      <c r="J138" s="129" t="s">
        <v>57</v>
      </c>
      <c r="K138" s="129"/>
      <c r="L138" s="129"/>
      <c r="M138" s="129"/>
      <c r="N138" s="129"/>
      <c r="O138" s="129"/>
      <c r="P138" s="129"/>
      <c r="Q138" s="184" t="b">
        <v>0</v>
      </c>
      <c r="R138" s="185"/>
      <c r="S138" s="129" t="s">
        <v>57</v>
      </c>
      <c r="T138" s="129"/>
      <c r="U138" s="129"/>
      <c r="V138" s="129"/>
      <c r="W138" s="129"/>
      <c r="X138" s="187"/>
    </row>
    <row r="139" spans="1:24" ht="15.75">
      <c r="A139" s="192"/>
      <c r="B139" s="192"/>
      <c r="C139" s="192"/>
      <c r="D139" s="192"/>
      <c r="E139" s="36" t="s">
        <v>73</v>
      </c>
      <c r="F139" s="37" t="str">
        <f>IF($G139=$E$1,"","n")</f>
        <v/>
      </c>
      <c r="G139" s="88" t="s">
        <v>33</v>
      </c>
      <c r="H139" s="72"/>
      <c r="I139" s="48"/>
      <c r="J139" s="129"/>
      <c r="K139" s="129"/>
      <c r="L139" s="129"/>
      <c r="M139" s="129"/>
      <c r="N139" s="129"/>
      <c r="O139" s="129"/>
      <c r="P139" s="129"/>
      <c r="Q139" s="184"/>
      <c r="R139" s="185"/>
      <c r="S139" s="129"/>
      <c r="T139" s="129"/>
      <c r="U139" s="129"/>
      <c r="V139" s="129"/>
      <c r="W139" s="129"/>
      <c r="X139" s="187"/>
    </row>
    <row r="140" spans="1:24" ht="15.75" thickBot="1">
      <c r="A140" s="192"/>
      <c r="B140" s="192"/>
      <c r="C140" s="192"/>
      <c r="D140" s="192"/>
      <c r="E140" s="193" t="s">
        <v>78</v>
      </c>
      <c r="F140" s="193"/>
      <c r="G140" s="193"/>
      <c r="H140" s="67" t="b">
        <v>0</v>
      </c>
      <c r="I140" s="34"/>
      <c r="J140" s="194" t="s">
        <v>58</v>
      </c>
      <c r="K140" s="194"/>
      <c r="L140" s="194"/>
      <c r="M140" s="194"/>
      <c r="N140" s="194"/>
      <c r="O140" s="194"/>
      <c r="P140" s="194"/>
      <c r="Q140" s="76" t="b">
        <v>0</v>
      </c>
      <c r="R140" s="51"/>
      <c r="S140" s="32" t="s">
        <v>58</v>
      </c>
      <c r="T140" s="32"/>
      <c r="U140" s="32"/>
      <c r="V140" s="32"/>
      <c r="W140" s="32"/>
      <c r="X140" s="55"/>
    </row>
    <row r="141" spans="1:24" ht="15.75" customHeight="1" thickTop="1">
      <c r="A141" s="195" t="s">
        <v>96</v>
      </c>
      <c r="B141" s="195"/>
      <c r="C141" s="195"/>
      <c r="D141" s="195"/>
      <c r="E141" s="197" t="s">
        <v>100</v>
      </c>
      <c r="F141" s="197"/>
      <c r="G141" s="197"/>
      <c r="H141" s="71"/>
      <c r="I141" s="151" t="s">
        <v>84</v>
      </c>
      <c r="J141" s="152"/>
      <c r="K141" s="152"/>
      <c r="L141" s="152"/>
      <c r="M141" s="152"/>
      <c r="N141" s="152"/>
      <c r="O141" s="152"/>
      <c r="P141" s="153"/>
      <c r="Q141" s="45"/>
      <c r="R141" s="152" t="s">
        <v>77</v>
      </c>
      <c r="S141" s="152"/>
      <c r="T141" s="152"/>
      <c r="U141" s="152"/>
      <c r="V141" s="152"/>
      <c r="W141" s="152"/>
      <c r="X141" s="153"/>
    </row>
    <row r="142" spans="1:24">
      <c r="A142" s="195"/>
      <c r="B142" s="195"/>
      <c r="C142" s="195"/>
      <c r="D142" s="195"/>
      <c r="E142" s="198" t="s">
        <v>100</v>
      </c>
      <c r="F142" s="199"/>
      <c r="G142" s="200"/>
      <c r="H142" s="80"/>
      <c r="I142" s="154" t="s">
        <v>84</v>
      </c>
      <c r="J142" s="155"/>
      <c r="K142" s="155"/>
      <c r="L142" s="155"/>
      <c r="M142" s="155"/>
      <c r="N142" s="155"/>
      <c r="O142" s="155"/>
      <c r="P142" s="156"/>
      <c r="Q142" s="81"/>
      <c r="R142" s="169"/>
      <c r="S142" s="169"/>
      <c r="T142" s="169"/>
      <c r="U142" s="169"/>
      <c r="V142" s="169"/>
      <c r="W142" s="169"/>
      <c r="X142" s="170"/>
    </row>
    <row r="143" spans="1:24" ht="31.5" customHeight="1">
      <c r="A143" s="196"/>
      <c r="B143" s="196"/>
      <c r="C143" s="196"/>
      <c r="D143" s="196"/>
      <c r="E143" s="201"/>
      <c r="F143" s="201"/>
      <c r="G143" s="202"/>
      <c r="H143" s="82"/>
      <c r="I143" s="157"/>
      <c r="J143" s="158"/>
      <c r="K143" s="158"/>
      <c r="L143" s="158"/>
      <c r="M143" s="158"/>
      <c r="N143" s="158"/>
      <c r="O143" s="158"/>
      <c r="P143" s="159"/>
      <c r="Q143" s="83"/>
      <c r="R143" s="171"/>
      <c r="S143" s="171"/>
      <c r="T143" s="171"/>
      <c r="U143" s="171"/>
      <c r="V143" s="171"/>
      <c r="W143" s="171"/>
      <c r="X143" s="172"/>
    </row>
    <row r="144" spans="1:24" ht="15.75" thickBot="1"/>
    <row r="145" spans="1:24" s="3" customFormat="1" ht="15.75" thickTop="1">
      <c r="A145" s="39"/>
      <c r="B145" s="39"/>
      <c r="C145" s="39"/>
      <c r="D145" s="39"/>
      <c r="E145" s="166" t="s">
        <v>6</v>
      </c>
      <c r="F145" s="166"/>
      <c r="G145" s="167"/>
      <c r="H145" s="70"/>
      <c r="I145" s="47"/>
      <c r="J145" s="46" t="s">
        <v>82</v>
      </c>
      <c r="K145" s="46"/>
      <c r="L145" s="46"/>
      <c r="M145" s="46"/>
      <c r="N145" s="46"/>
      <c r="O145" s="46"/>
      <c r="P145" s="46"/>
      <c r="Q145" s="46"/>
      <c r="R145" s="46"/>
      <c r="S145" s="46"/>
      <c r="T145" s="46"/>
      <c r="U145" s="46"/>
      <c r="V145" s="46"/>
      <c r="W145" s="46"/>
      <c r="X145" s="47"/>
    </row>
    <row r="146" spans="1:24" ht="15.75" customHeight="1">
      <c r="A146" s="6" t="s">
        <v>108</v>
      </c>
      <c r="B146" s="168" t="s">
        <v>106</v>
      </c>
      <c r="C146" s="168"/>
      <c r="D146" s="168"/>
      <c r="E146" s="35" t="s">
        <v>67</v>
      </c>
      <c r="F146" s="35"/>
      <c r="G146" s="3"/>
      <c r="H146" s="64"/>
      <c r="I146" s="49">
        <f>N146/P146</f>
        <v>0</v>
      </c>
      <c r="J146" s="205" t="s">
        <v>95</v>
      </c>
      <c r="K146" s="205"/>
      <c r="L146" s="205"/>
      <c r="M146" s="205"/>
      <c r="N146" s="33">
        <f>COUNTIF($H147:$H161,TRUE)</f>
        <v>0</v>
      </c>
      <c r="O146" s="30" t="s">
        <v>92</v>
      </c>
      <c r="P146" s="57">
        <v>8</v>
      </c>
      <c r="Q146" s="94" t="s">
        <v>93</v>
      </c>
      <c r="R146" s="49">
        <f>V146/X146</f>
        <v>0</v>
      </c>
      <c r="S146" s="205" t="s">
        <v>83</v>
      </c>
      <c r="T146" s="205"/>
      <c r="U146" s="205"/>
      <c r="V146" s="33">
        <f>COUNTIF($Q147:$Q161,TRUE)</f>
        <v>0</v>
      </c>
      <c r="W146" s="30" t="s">
        <v>92</v>
      </c>
      <c r="X146" s="61">
        <v>8</v>
      </c>
    </row>
    <row r="147" spans="1:24" ht="15.75" customHeight="1">
      <c r="A147" s="6" t="s">
        <v>85</v>
      </c>
      <c r="B147" s="163" t="s">
        <v>170</v>
      </c>
      <c r="C147" s="163"/>
      <c r="D147" s="163"/>
      <c r="E147" s="36" t="s">
        <v>68</v>
      </c>
      <c r="F147" s="37" t="str">
        <f>IF($G147=$E$1,"","n")</f>
        <v/>
      </c>
      <c r="G147" s="95" t="s">
        <v>33</v>
      </c>
      <c r="H147" s="65" t="b">
        <v>0</v>
      </c>
      <c r="I147" s="42"/>
      <c r="J147" s="129" t="s">
        <v>101</v>
      </c>
      <c r="K147" s="129"/>
      <c r="L147" s="129"/>
      <c r="M147" s="129"/>
      <c r="N147" s="129"/>
      <c r="O147" s="129"/>
      <c r="P147" s="129"/>
      <c r="Q147" s="75" t="b">
        <v>0</v>
      </c>
      <c r="R147" s="96"/>
      <c r="S147" s="136" t="s">
        <v>101</v>
      </c>
      <c r="T147" s="136"/>
      <c r="U147" s="136"/>
      <c r="V147" s="136"/>
      <c r="W147" s="136"/>
      <c r="X147" s="188"/>
    </row>
    <row r="148" spans="1:24" ht="15" customHeight="1">
      <c r="A148" s="26" t="s">
        <v>86</v>
      </c>
      <c r="B148" s="164" t="s">
        <v>171</v>
      </c>
      <c r="C148" s="164"/>
      <c r="D148" s="164"/>
      <c r="E148" s="162" t="s">
        <v>87</v>
      </c>
      <c r="F148" s="162"/>
      <c r="G148" s="162"/>
      <c r="H148" s="72" t="b">
        <v>0</v>
      </c>
      <c r="I148" s="48"/>
      <c r="J148" s="189" t="s">
        <v>50</v>
      </c>
      <c r="K148" s="190"/>
      <c r="L148" s="190"/>
      <c r="M148" s="190"/>
      <c r="N148" s="190"/>
      <c r="O148" s="190"/>
      <c r="P148" s="190"/>
      <c r="Q148" s="184" t="b">
        <v>0</v>
      </c>
      <c r="R148" s="185"/>
      <c r="S148" s="190" t="s">
        <v>50</v>
      </c>
      <c r="T148" s="190"/>
      <c r="U148" s="190"/>
      <c r="V148" s="190"/>
      <c r="W148" s="190"/>
      <c r="X148" s="204"/>
    </row>
    <row r="149" spans="1:24" ht="15" customHeight="1">
      <c r="A149" s="26" t="s">
        <v>121</v>
      </c>
      <c r="B149" s="150">
        <v>25</v>
      </c>
      <c r="C149" s="150"/>
      <c r="D149" s="150"/>
      <c r="E149" s="162"/>
      <c r="F149" s="162"/>
      <c r="G149" s="162"/>
      <c r="H149" s="72"/>
      <c r="I149" s="48"/>
      <c r="J149" s="189"/>
      <c r="K149" s="190"/>
      <c r="L149" s="190"/>
      <c r="M149" s="190"/>
      <c r="N149" s="190"/>
      <c r="O149" s="190"/>
      <c r="P149" s="190"/>
      <c r="Q149" s="184" t="b">
        <v>0</v>
      </c>
      <c r="R149" s="185"/>
      <c r="S149" s="190"/>
      <c r="T149" s="190"/>
      <c r="U149" s="190"/>
      <c r="V149" s="190"/>
      <c r="W149" s="190"/>
      <c r="X149" s="204"/>
    </row>
    <row r="150" spans="1:24" ht="17.25" customHeight="1">
      <c r="A150" s="27" t="s">
        <v>109</v>
      </c>
      <c r="B150" s="160" t="s">
        <v>163</v>
      </c>
      <c r="C150" s="160"/>
      <c r="D150" s="160"/>
      <c r="E150" s="36" t="s">
        <v>69</v>
      </c>
      <c r="F150" s="37" t="str">
        <f>IF($G150=$E$1,"","n")</f>
        <v/>
      </c>
      <c r="G150" s="95" t="s">
        <v>33</v>
      </c>
      <c r="H150" s="72"/>
      <c r="I150" s="48"/>
      <c r="J150" s="189"/>
      <c r="K150" s="190"/>
      <c r="L150" s="190"/>
      <c r="M150" s="190"/>
      <c r="N150" s="190"/>
      <c r="O150" s="190"/>
      <c r="P150" s="190"/>
      <c r="Q150" s="184"/>
      <c r="R150" s="185"/>
      <c r="S150" s="190"/>
      <c r="T150" s="190"/>
      <c r="U150" s="190"/>
      <c r="V150" s="190"/>
      <c r="W150" s="190"/>
      <c r="X150" s="204"/>
    </row>
    <row r="151" spans="1:24" ht="15.75" customHeight="1">
      <c r="A151" s="28" t="s">
        <v>90</v>
      </c>
      <c r="B151" s="161" t="s">
        <v>64</v>
      </c>
      <c r="C151" s="161"/>
      <c r="D151" s="161"/>
      <c r="E151" s="162" t="s">
        <v>88</v>
      </c>
      <c r="F151" s="162"/>
      <c r="G151" s="162"/>
      <c r="H151" s="72" t="b">
        <v>0</v>
      </c>
      <c r="I151" s="48"/>
      <c r="J151" s="129" t="s">
        <v>102</v>
      </c>
      <c r="K151" s="129"/>
      <c r="L151" s="129"/>
      <c r="M151" s="129"/>
      <c r="N151" s="129"/>
      <c r="O151" s="129"/>
      <c r="P151" s="129"/>
      <c r="Q151" s="184" t="b">
        <v>0</v>
      </c>
      <c r="R151" s="185"/>
      <c r="S151" s="129" t="s">
        <v>102</v>
      </c>
      <c r="T151" s="129"/>
      <c r="U151" s="129"/>
      <c r="V151" s="129"/>
      <c r="W151" s="129"/>
      <c r="X151" s="187"/>
    </row>
    <row r="152" spans="1:24" ht="15" customHeight="1">
      <c r="A152" s="27" t="s">
        <v>110</v>
      </c>
      <c r="B152" s="160" t="s">
        <v>164</v>
      </c>
      <c r="C152" s="160"/>
      <c r="D152" s="160"/>
      <c r="E152" s="162"/>
      <c r="F152" s="162"/>
      <c r="G152" s="162"/>
      <c r="H152" s="72"/>
      <c r="I152" s="48"/>
      <c r="J152" s="129"/>
      <c r="K152" s="129"/>
      <c r="L152" s="129"/>
      <c r="M152" s="129"/>
      <c r="N152" s="129"/>
      <c r="O152" s="129"/>
      <c r="P152" s="129"/>
      <c r="Q152" s="184"/>
      <c r="R152" s="185"/>
      <c r="S152" s="129"/>
      <c r="T152" s="129"/>
      <c r="U152" s="129"/>
      <c r="V152" s="129"/>
      <c r="W152" s="129"/>
      <c r="X152" s="187"/>
    </row>
    <row r="153" spans="1:24" ht="15" customHeight="1">
      <c r="A153" s="6" t="s">
        <v>90</v>
      </c>
      <c r="B153" s="161" t="s">
        <v>64</v>
      </c>
      <c r="C153" s="161"/>
      <c r="D153" s="161"/>
      <c r="E153" s="36" t="s">
        <v>70</v>
      </c>
      <c r="F153" s="37" t="str">
        <f>IF($G153=$E$1,"","n")</f>
        <v/>
      </c>
      <c r="G153" s="95" t="s">
        <v>33</v>
      </c>
      <c r="H153" s="72" t="b">
        <v>0</v>
      </c>
      <c r="I153" s="48"/>
      <c r="J153" s="183" t="s">
        <v>103</v>
      </c>
      <c r="K153" s="183"/>
      <c r="L153" s="183"/>
      <c r="M153" s="183"/>
      <c r="N153" s="183"/>
      <c r="O153" s="183"/>
      <c r="P153" s="183"/>
      <c r="Q153" s="184" t="b">
        <v>0</v>
      </c>
      <c r="R153" s="185"/>
      <c r="S153" s="129" t="s">
        <v>103</v>
      </c>
      <c r="T153" s="129"/>
      <c r="U153" s="129"/>
      <c r="V153" s="129"/>
      <c r="W153" s="129"/>
      <c r="X153" s="187"/>
    </row>
    <row r="154" spans="1:24" ht="15" customHeight="1">
      <c r="A154" s="6" t="s">
        <v>91</v>
      </c>
      <c r="B154" s="203" t="s">
        <v>80</v>
      </c>
      <c r="C154" s="203"/>
      <c r="D154" s="203"/>
      <c r="E154" s="162" t="s">
        <v>89</v>
      </c>
      <c r="F154" s="162"/>
      <c r="G154" s="162"/>
      <c r="H154" s="72"/>
      <c r="I154" s="48"/>
      <c r="J154" s="183"/>
      <c r="K154" s="183"/>
      <c r="L154" s="183"/>
      <c r="M154" s="183"/>
      <c r="N154" s="183"/>
      <c r="O154" s="183"/>
      <c r="P154" s="183"/>
      <c r="Q154" s="184"/>
      <c r="R154" s="185"/>
      <c r="S154" s="129"/>
      <c r="T154" s="129"/>
      <c r="U154" s="129"/>
      <c r="V154" s="129"/>
      <c r="W154" s="129"/>
      <c r="X154" s="187"/>
    </row>
    <row r="155" spans="1:24" ht="15" customHeight="1">
      <c r="A155" s="3"/>
      <c r="B155" s="104">
        <f>EVI_Score1</f>
        <v>2016</v>
      </c>
      <c r="C155" s="104">
        <f>EVI_Score2</f>
        <v>2015</v>
      </c>
      <c r="D155" s="105">
        <f>EVI_Score3</f>
        <v>2014</v>
      </c>
      <c r="E155" s="162"/>
      <c r="F155" s="162"/>
      <c r="G155" s="162"/>
      <c r="H155" s="72" t="b">
        <v>0</v>
      </c>
      <c r="I155" s="48"/>
      <c r="J155" s="183" t="s">
        <v>104</v>
      </c>
      <c r="K155" s="183"/>
      <c r="L155" s="183"/>
      <c r="M155" s="183"/>
      <c r="N155" s="183"/>
      <c r="O155" s="183"/>
      <c r="P155" s="183"/>
      <c r="Q155" s="184" t="b">
        <v>0</v>
      </c>
      <c r="R155" s="185"/>
      <c r="S155" s="183" t="s">
        <v>104</v>
      </c>
      <c r="T155" s="183"/>
      <c r="U155" s="183"/>
      <c r="V155" s="183"/>
      <c r="W155" s="183"/>
      <c r="X155" s="186"/>
    </row>
    <row r="156" spans="1:24" ht="15.75">
      <c r="A156" s="7" t="s">
        <v>3</v>
      </c>
      <c r="B156" s="89"/>
      <c r="C156" s="89"/>
      <c r="D156" s="103" t="s">
        <v>30</v>
      </c>
      <c r="E156" s="38" t="s">
        <v>71</v>
      </c>
      <c r="F156" s="86"/>
      <c r="G156" s="86"/>
      <c r="H156" s="72"/>
      <c r="I156" s="48"/>
      <c r="J156" s="183"/>
      <c r="K156" s="183"/>
      <c r="L156" s="183"/>
      <c r="M156" s="183"/>
      <c r="N156" s="183"/>
      <c r="O156" s="183"/>
      <c r="P156" s="183"/>
      <c r="Q156" s="184"/>
      <c r="R156" s="185"/>
      <c r="S156" s="183"/>
      <c r="T156" s="183"/>
      <c r="U156" s="183"/>
      <c r="V156" s="183"/>
      <c r="W156" s="183"/>
      <c r="X156" s="186"/>
    </row>
    <row r="157" spans="1:24" ht="15.75" customHeight="1">
      <c r="B157" s="104">
        <f>PMP_Y1</f>
        <v>2015</v>
      </c>
      <c r="C157" s="104">
        <f>PMP_Y2</f>
        <v>2014</v>
      </c>
      <c r="D157" s="105">
        <f>PMP_Y3</f>
        <v>2013</v>
      </c>
      <c r="E157" s="36" t="s">
        <v>72</v>
      </c>
      <c r="F157" s="37" t="str">
        <f>IF($G157=$E$1,"","n")</f>
        <v/>
      </c>
      <c r="G157" s="95" t="s">
        <v>33</v>
      </c>
      <c r="H157" s="72" t="b">
        <v>0</v>
      </c>
      <c r="I157" s="48"/>
      <c r="J157" s="129" t="s">
        <v>56</v>
      </c>
      <c r="K157" s="129"/>
      <c r="L157" s="129"/>
      <c r="M157" s="129"/>
      <c r="N157" s="129"/>
      <c r="O157" s="129"/>
      <c r="P157" s="129"/>
      <c r="Q157" s="184" t="b">
        <v>0</v>
      </c>
      <c r="R157" s="185"/>
      <c r="S157" s="129" t="s">
        <v>56</v>
      </c>
      <c r="T157" s="129"/>
      <c r="U157" s="129"/>
      <c r="V157" s="129"/>
      <c r="W157" s="129"/>
      <c r="X157" s="187"/>
    </row>
    <row r="158" spans="1:24" ht="15.75" customHeight="1">
      <c r="A158" s="7" t="s">
        <v>4</v>
      </c>
      <c r="B158" s="29" t="s">
        <v>22</v>
      </c>
      <c r="C158" s="29" t="s">
        <v>22</v>
      </c>
      <c r="D158" s="102" t="s">
        <v>22</v>
      </c>
      <c r="E158" s="149" t="s">
        <v>122</v>
      </c>
      <c r="F158" s="149"/>
      <c r="G158" s="149"/>
      <c r="H158" s="72"/>
      <c r="I158" s="48"/>
      <c r="J158" s="129"/>
      <c r="K158" s="129"/>
      <c r="L158" s="129"/>
      <c r="M158" s="129"/>
      <c r="N158" s="129"/>
      <c r="O158" s="129"/>
      <c r="P158" s="129"/>
      <c r="Q158" s="184"/>
      <c r="R158" s="185"/>
      <c r="S158" s="129"/>
      <c r="T158" s="129"/>
      <c r="U158" s="129"/>
      <c r="V158" s="129"/>
      <c r="W158" s="129"/>
      <c r="X158" s="187"/>
    </row>
    <row r="159" spans="1:24" ht="15" customHeight="1">
      <c r="A159" s="131" t="s">
        <v>74</v>
      </c>
      <c r="B159" s="131"/>
      <c r="C159" s="131"/>
      <c r="D159" s="131"/>
      <c r="E159" s="149"/>
      <c r="F159" s="149"/>
      <c r="G159" s="149"/>
      <c r="H159" s="72" t="b">
        <v>0</v>
      </c>
      <c r="I159" s="48"/>
      <c r="J159" s="129" t="s">
        <v>57</v>
      </c>
      <c r="K159" s="129"/>
      <c r="L159" s="129"/>
      <c r="M159" s="129"/>
      <c r="N159" s="129"/>
      <c r="O159" s="129"/>
      <c r="P159" s="129"/>
      <c r="Q159" s="184" t="b">
        <v>0</v>
      </c>
      <c r="R159" s="185"/>
      <c r="S159" s="129" t="s">
        <v>57</v>
      </c>
      <c r="T159" s="129"/>
      <c r="U159" s="129"/>
      <c r="V159" s="129"/>
      <c r="W159" s="129"/>
      <c r="X159" s="187"/>
    </row>
    <row r="160" spans="1:24" ht="15.75">
      <c r="A160" s="192"/>
      <c r="B160" s="192"/>
      <c r="C160" s="192"/>
      <c r="D160" s="192"/>
      <c r="E160" s="36" t="s">
        <v>73</v>
      </c>
      <c r="F160" s="37" t="str">
        <f>IF($G160=$E$1,"","n")</f>
        <v/>
      </c>
      <c r="G160" s="95" t="s">
        <v>33</v>
      </c>
      <c r="H160" s="72"/>
      <c r="I160" s="48"/>
      <c r="J160" s="129"/>
      <c r="K160" s="129"/>
      <c r="L160" s="129"/>
      <c r="M160" s="129"/>
      <c r="N160" s="129"/>
      <c r="O160" s="129"/>
      <c r="P160" s="129"/>
      <c r="Q160" s="184"/>
      <c r="R160" s="185"/>
      <c r="S160" s="129"/>
      <c r="T160" s="129"/>
      <c r="U160" s="129"/>
      <c r="V160" s="129"/>
      <c r="W160" s="129"/>
      <c r="X160" s="187"/>
    </row>
    <row r="161" spans="1:24" ht="15.75" thickBot="1">
      <c r="A161" s="192"/>
      <c r="B161" s="192"/>
      <c r="C161" s="192"/>
      <c r="D161" s="192"/>
      <c r="E161" s="193" t="s">
        <v>78</v>
      </c>
      <c r="F161" s="193"/>
      <c r="G161" s="193"/>
      <c r="H161" s="67" t="b">
        <v>0</v>
      </c>
      <c r="I161" s="34"/>
      <c r="J161" s="194" t="s">
        <v>58</v>
      </c>
      <c r="K161" s="194"/>
      <c r="L161" s="194"/>
      <c r="M161" s="194"/>
      <c r="N161" s="194"/>
      <c r="O161" s="194"/>
      <c r="P161" s="194"/>
      <c r="Q161" s="76" t="b">
        <v>0</v>
      </c>
      <c r="R161" s="51"/>
      <c r="S161" s="32" t="s">
        <v>58</v>
      </c>
      <c r="T161" s="32"/>
      <c r="U161" s="32"/>
      <c r="V161" s="32"/>
      <c r="W161" s="32"/>
      <c r="X161" s="55"/>
    </row>
    <row r="162" spans="1:24" ht="15.75" customHeight="1" thickTop="1">
      <c r="A162" s="195" t="s">
        <v>96</v>
      </c>
      <c r="B162" s="195"/>
      <c r="C162" s="195"/>
      <c r="D162" s="195"/>
      <c r="E162" s="197" t="s">
        <v>100</v>
      </c>
      <c r="F162" s="197"/>
      <c r="G162" s="197"/>
      <c r="H162" s="71"/>
      <c r="I162" s="151" t="s">
        <v>84</v>
      </c>
      <c r="J162" s="152"/>
      <c r="K162" s="152"/>
      <c r="L162" s="152"/>
      <c r="M162" s="152"/>
      <c r="N162" s="152"/>
      <c r="O162" s="152"/>
      <c r="P162" s="153"/>
      <c r="Q162" s="45"/>
      <c r="R162" s="152" t="s">
        <v>77</v>
      </c>
      <c r="S162" s="152"/>
      <c r="T162" s="152"/>
      <c r="U162" s="152"/>
      <c r="V162" s="152"/>
      <c r="W162" s="152"/>
      <c r="X162" s="153"/>
    </row>
    <row r="163" spans="1:24">
      <c r="A163" s="195"/>
      <c r="B163" s="195"/>
      <c r="C163" s="195"/>
      <c r="D163" s="195"/>
      <c r="E163" s="198" t="s">
        <v>182</v>
      </c>
      <c r="F163" s="199"/>
      <c r="G163" s="200"/>
      <c r="H163" s="119"/>
      <c r="I163" s="154" t="s">
        <v>183</v>
      </c>
      <c r="J163" s="155"/>
      <c r="K163" s="155"/>
      <c r="L163" s="155"/>
      <c r="M163" s="155"/>
      <c r="N163" s="155"/>
      <c r="O163" s="155"/>
      <c r="P163" s="156"/>
      <c r="Q163" s="98"/>
      <c r="R163" s="169"/>
      <c r="S163" s="169"/>
      <c r="T163" s="169"/>
      <c r="U163" s="169"/>
      <c r="V163" s="169"/>
      <c r="W163" s="169"/>
      <c r="X163" s="170"/>
    </row>
    <row r="164" spans="1:24" ht="31.5" customHeight="1">
      <c r="A164" s="196"/>
      <c r="B164" s="196"/>
      <c r="C164" s="196"/>
      <c r="D164" s="196"/>
      <c r="E164" s="201"/>
      <c r="F164" s="201"/>
      <c r="G164" s="202"/>
      <c r="H164" s="120"/>
      <c r="I164" s="157"/>
      <c r="J164" s="158"/>
      <c r="K164" s="158"/>
      <c r="L164" s="158"/>
      <c r="M164" s="158"/>
      <c r="N164" s="158"/>
      <c r="O164" s="158"/>
      <c r="P164" s="159"/>
      <c r="Q164" s="100"/>
      <c r="R164" s="171"/>
      <c r="S164" s="171"/>
      <c r="T164" s="171"/>
      <c r="U164" s="171"/>
      <c r="V164" s="171"/>
      <c r="W164" s="171"/>
      <c r="X164" s="172"/>
    </row>
    <row r="165" spans="1:24" ht="15.75" thickBot="1"/>
    <row r="166" spans="1:24" s="3" customFormat="1" ht="15.75" thickTop="1">
      <c r="A166" s="39"/>
      <c r="B166" s="39"/>
      <c r="C166" s="39"/>
      <c r="D166" s="39"/>
      <c r="E166" s="166" t="s">
        <v>6</v>
      </c>
      <c r="F166" s="166"/>
      <c r="G166" s="167"/>
      <c r="H166" s="70"/>
      <c r="I166" s="47"/>
      <c r="J166" s="46" t="s">
        <v>82</v>
      </c>
      <c r="K166" s="46"/>
      <c r="L166" s="46"/>
      <c r="M166" s="46"/>
      <c r="N166" s="46"/>
      <c r="O166" s="46"/>
      <c r="P166" s="46"/>
      <c r="Q166" s="46"/>
      <c r="R166" s="46"/>
      <c r="S166" s="46"/>
      <c r="T166" s="46"/>
      <c r="U166" s="46"/>
      <c r="V166" s="46"/>
      <c r="W166" s="46"/>
      <c r="X166" s="47"/>
    </row>
    <row r="167" spans="1:24" ht="15.75" customHeight="1">
      <c r="A167" s="6" t="s">
        <v>108</v>
      </c>
      <c r="B167" s="168" t="s">
        <v>105</v>
      </c>
      <c r="C167" s="168"/>
      <c r="D167" s="168"/>
      <c r="E167" s="35" t="s">
        <v>67</v>
      </c>
      <c r="F167" s="35"/>
      <c r="G167" s="3"/>
      <c r="H167" s="64"/>
      <c r="I167" s="49">
        <f>N167/P167</f>
        <v>0</v>
      </c>
      <c r="J167" s="205" t="s">
        <v>95</v>
      </c>
      <c r="K167" s="205"/>
      <c r="L167" s="205"/>
      <c r="M167" s="205"/>
      <c r="N167" s="33">
        <f>COUNTIF($H168:$H182,TRUE)</f>
        <v>0</v>
      </c>
      <c r="O167" s="30" t="s">
        <v>92</v>
      </c>
      <c r="P167" s="57">
        <v>8</v>
      </c>
      <c r="Q167" s="94" t="s">
        <v>93</v>
      </c>
      <c r="R167" s="49">
        <f>V167/X167</f>
        <v>0</v>
      </c>
      <c r="S167" s="205" t="s">
        <v>83</v>
      </c>
      <c r="T167" s="205"/>
      <c r="U167" s="205"/>
      <c r="V167" s="33">
        <f>COUNTIF($Q168:$Q182,TRUE)</f>
        <v>0</v>
      </c>
      <c r="W167" s="30" t="s">
        <v>92</v>
      </c>
      <c r="X167" s="61">
        <v>8</v>
      </c>
    </row>
    <row r="168" spans="1:24" ht="15.75" customHeight="1">
      <c r="A168" s="6" t="s">
        <v>85</v>
      </c>
      <c r="B168" s="163" t="s">
        <v>172</v>
      </c>
      <c r="C168" s="163"/>
      <c r="D168" s="163"/>
      <c r="E168" s="36" t="s">
        <v>68</v>
      </c>
      <c r="F168" s="37" t="str">
        <f>IF($G168=$E$1,"","n")</f>
        <v/>
      </c>
      <c r="G168" s="95" t="s">
        <v>33</v>
      </c>
      <c r="H168" s="65" t="b">
        <v>0</v>
      </c>
      <c r="I168" s="42"/>
      <c r="J168" s="129" t="s">
        <v>101</v>
      </c>
      <c r="K168" s="129"/>
      <c r="L168" s="129"/>
      <c r="M168" s="129"/>
      <c r="N168" s="129"/>
      <c r="O168" s="129"/>
      <c r="P168" s="129"/>
      <c r="Q168" s="75" t="b">
        <v>0</v>
      </c>
      <c r="R168" s="96"/>
      <c r="S168" s="136" t="s">
        <v>101</v>
      </c>
      <c r="T168" s="136"/>
      <c r="U168" s="136"/>
      <c r="V168" s="136"/>
      <c r="W168" s="136"/>
      <c r="X168" s="188"/>
    </row>
    <row r="169" spans="1:24" ht="15" customHeight="1">
      <c r="A169" s="26" t="s">
        <v>86</v>
      </c>
      <c r="B169" s="164"/>
      <c r="C169" s="164"/>
      <c r="D169" s="164"/>
      <c r="E169" s="162" t="s">
        <v>87</v>
      </c>
      <c r="F169" s="162"/>
      <c r="G169" s="162"/>
      <c r="H169" s="72" t="b">
        <v>0</v>
      </c>
      <c r="I169" s="48"/>
      <c r="J169" s="189" t="s">
        <v>50</v>
      </c>
      <c r="K169" s="190"/>
      <c r="L169" s="190"/>
      <c r="M169" s="190"/>
      <c r="N169" s="190"/>
      <c r="O169" s="190"/>
      <c r="P169" s="190"/>
      <c r="Q169" s="184" t="b">
        <v>0</v>
      </c>
      <c r="R169" s="185"/>
      <c r="S169" s="190" t="s">
        <v>50</v>
      </c>
      <c r="T169" s="190"/>
      <c r="U169" s="190"/>
      <c r="V169" s="190"/>
      <c r="W169" s="190"/>
      <c r="X169" s="204"/>
    </row>
    <row r="170" spans="1:24" ht="15" customHeight="1">
      <c r="A170" s="26" t="s">
        <v>121</v>
      </c>
      <c r="B170" s="150">
        <v>5</v>
      </c>
      <c r="C170" s="150"/>
      <c r="D170" s="150"/>
      <c r="E170" s="162"/>
      <c r="F170" s="162"/>
      <c r="G170" s="162"/>
      <c r="H170" s="72"/>
      <c r="I170" s="48"/>
      <c r="J170" s="189"/>
      <c r="K170" s="190"/>
      <c r="L170" s="190"/>
      <c r="M170" s="190"/>
      <c r="N170" s="190"/>
      <c r="O170" s="190"/>
      <c r="P170" s="190"/>
      <c r="Q170" s="184"/>
      <c r="R170" s="185"/>
      <c r="S170" s="190"/>
      <c r="T170" s="190"/>
      <c r="U170" s="190"/>
      <c r="V170" s="190"/>
      <c r="W170" s="190"/>
      <c r="X170" s="204"/>
    </row>
    <row r="171" spans="1:24" ht="17.25" customHeight="1">
      <c r="A171" s="27" t="s">
        <v>109</v>
      </c>
      <c r="B171" s="160" t="s">
        <v>166</v>
      </c>
      <c r="C171" s="160"/>
      <c r="D171" s="160"/>
      <c r="E171" s="36" t="s">
        <v>69</v>
      </c>
      <c r="F171" s="37" t="str">
        <f>IF($G171=$E$1,"","n")</f>
        <v/>
      </c>
      <c r="G171" s="95" t="s">
        <v>33</v>
      </c>
      <c r="H171" s="72"/>
      <c r="I171" s="48"/>
      <c r="J171" s="189"/>
      <c r="K171" s="190"/>
      <c r="L171" s="190"/>
      <c r="M171" s="190"/>
      <c r="N171" s="190"/>
      <c r="O171" s="190"/>
      <c r="P171" s="190"/>
      <c r="Q171" s="184"/>
      <c r="R171" s="185"/>
      <c r="S171" s="190"/>
      <c r="T171" s="190"/>
      <c r="U171" s="190"/>
      <c r="V171" s="190"/>
      <c r="W171" s="190"/>
      <c r="X171" s="204"/>
    </row>
    <row r="172" spans="1:24" ht="15.75" customHeight="1">
      <c r="A172" s="28" t="s">
        <v>90</v>
      </c>
      <c r="B172" s="161" t="s">
        <v>63</v>
      </c>
      <c r="C172" s="161"/>
      <c r="D172" s="161"/>
      <c r="E172" s="162" t="s">
        <v>88</v>
      </c>
      <c r="F172" s="162"/>
      <c r="G172" s="162"/>
      <c r="H172" s="72" t="b">
        <v>0</v>
      </c>
      <c r="I172" s="48"/>
      <c r="J172" s="129" t="s">
        <v>102</v>
      </c>
      <c r="K172" s="129"/>
      <c r="L172" s="129"/>
      <c r="M172" s="129"/>
      <c r="N172" s="129"/>
      <c r="O172" s="129"/>
      <c r="P172" s="129"/>
      <c r="Q172" s="184" t="b">
        <v>0</v>
      </c>
      <c r="R172" s="185"/>
      <c r="S172" s="129" t="s">
        <v>102</v>
      </c>
      <c r="T172" s="129"/>
      <c r="U172" s="129"/>
      <c r="V172" s="129"/>
      <c r="W172" s="129"/>
      <c r="X172" s="187"/>
    </row>
    <row r="173" spans="1:24" ht="15" customHeight="1">
      <c r="A173" s="27" t="s">
        <v>110</v>
      </c>
      <c r="B173" s="160" t="s">
        <v>167</v>
      </c>
      <c r="C173" s="160"/>
      <c r="D173" s="160"/>
      <c r="E173" s="162"/>
      <c r="F173" s="162"/>
      <c r="G173" s="162"/>
      <c r="H173" s="72"/>
      <c r="I173" s="48"/>
      <c r="J173" s="129"/>
      <c r="K173" s="129"/>
      <c r="L173" s="129"/>
      <c r="M173" s="129"/>
      <c r="N173" s="129"/>
      <c r="O173" s="129"/>
      <c r="P173" s="129"/>
      <c r="Q173" s="184"/>
      <c r="R173" s="185"/>
      <c r="S173" s="129"/>
      <c r="T173" s="129"/>
      <c r="U173" s="129"/>
      <c r="V173" s="129"/>
      <c r="W173" s="129"/>
      <c r="X173" s="187"/>
    </row>
    <row r="174" spans="1:24" ht="15" customHeight="1">
      <c r="A174" s="6" t="s">
        <v>90</v>
      </c>
      <c r="B174" s="161" t="s">
        <v>63</v>
      </c>
      <c r="C174" s="161"/>
      <c r="D174" s="161"/>
      <c r="E174" s="36" t="s">
        <v>70</v>
      </c>
      <c r="F174" s="37" t="str">
        <f>IF($G174=$E$1,"","n")</f>
        <v/>
      </c>
      <c r="G174" s="95" t="s">
        <v>33</v>
      </c>
      <c r="H174" s="72" t="b">
        <v>0</v>
      </c>
      <c r="I174" s="48"/>
      <c r="J174" s="183" t="s">
        <v>103</v>
      </c>
      <c r="K174" s="183"/>
      <c r="L174" s="183"/>
      <c r="M174" s="183"/>
      <c r="N174" s="183"/>
      <c r="O174" s="183"/>
      <c r="P174" s="183"/>
      <c r="Q174" s="184" t="b">
        <v>0</v>
      </c>
      <c r="R174" s="185"/>
      <c r="S174" s="129" t="s">
        <v>103</v>
      </c>
      <c r="T174" s="129"/>
      <c r="U174" s="129"/>
      <c r="V174" s="129"/>
      <c r="W174" s="129"/>
      <c r="X174" s="187"/>
    </row>
    <row r="175" spans="1:24" ht="15" customHeight="1">
      <c r="A175" s="6" t="s">
        <v>91</v>
      </c>
      <c r="B175" s="203" t="s">
        <v>80</v>
      </c>
      <c r="C175" s="203"/>
      <c r="D175" s="203"/>
      <c r="E175" s="162" t="s">
        <v>89</v>
      </c>
      <c r="F175" s="162"/>
      <c r="G175" s="162"/>
      <c r="H175" s="72"/>
      <c r="I175" s="48"/>
      <c r="J175" s="183"/>
      <c r="K175" s="183"/>
      <c r="L175" s="183"/>
      <c r="M175" s="183"/>
      <c r="N175" s="183"/>
      <c r="O175" s="183"/>
      <c r="P175" s="183"/>
      <c r="Q175" s="184"/>
      <c r="R175" s="185"/>
      <c r="S175" s="129"/>
      <c r="T175" s="129"/>
      <c r="U175" s="129"/>
      <c r="V175" s="129"/>
      <c r="W175" s="129"/>
      <c r="X175" s="187"/>
    </row>
    <row r="176" spans="1:24" ht="15" customHeight="1">
      <c r="A176" s="3"/>
      <c r="B176" s="104">
        <f>EVI_Score1</f>
        <v>2016</v>
      </c>
      <c r="C176" s="104">
        <f>EVI_Score2</f>
        <v>2015</v>
      </c>
      <c r="D176" s="105">
        <f>EVI_Score3</f>
        <v>2014</v>
      </c>
      <c r="E176" s="162"/>
      <c r="F176" s="162"/>
      <c r="G176" s="162"/>
      <c r="H176" s="72" t="b">
        <v>0</v>
      </c>
      <c r="I176" s="48"/>
      <c r="J176" s="183" t="s">
        <v>104</v>
      </c>
      <c r="K176" s="183"/>
      <c r="L176" s="183"/>
      <c r="M176" s="183"/>
      <c r="N176" s="183"/>
      <c r="O176" s="183"/>
      <c r="P176" s="183"/>
      <c r="Q176" s="184" t="b">
        <v>0</v>
      </c>
      <c r="R176" s="185"/>
      <c r="S176" s="183" t="s">
        <v>104</v>
      </c>
      <c r="T176" s="183"/>
      <c r="U176" s="183"/>
      <c r="V176" s="183"/>
      <c r="W176" s="183"/>
      <c r="X176" s="186"/>
    </row>
    <row r="177" spans="1:24" ht="15.75">
      <c r="A177" s="7" t="s">
        <v>3</v>
      </c>
      <c r="B177" s="89">
        <v>80</v>
      </c>
      <c r="C177" s="89">
        <v>80</v>
      </c>
      <c r="D177" s="103" t="s">
        <v>30</v>
      </c>
      <c r="E177" s="38" t="s">
        <v>71</v>
      </c>
      <c r="F177" s="86"/>
      <c r="G177" s="86"/>
      <c r="H177" s="72"/>
      <c r="I177" s="48"/>
      <c r="J177" s="183"/>
      <c r="K177" s="183"/>
      <c r="L177" s="183"/>
      <c r="M177" s="183"/>
      <c r="N177" s="183"/>
      <c r="O177" s="183"/>
      <c r="P177" s="183"/>
      <c r="Q177" s="184"/>
      <c r="R177" s="185"/>
      <c r="S177" s="183"/>
      <c r="T177" s="183"/>
      <c r="U177" s="183"/>
      <c r="V177" s="183"/>
      <c r="W177" s="183"/>
      <c r="X177" s="186"/>
    </row>
    <row r="178" spans="1:24" ht="15.75" customHeight="1">
      <c r="B178" s="104">
        <f>PMP_Y1</f>
        <v>2015</v>
      </c>
      <c r="C178" s="104">
        <f>PMP_Y2</f>
        <v>2014</v>
      </c>
      <c r="D178" s="105">
        <f>PMP_Y3</f>
        <v>2013</v>
      </c>
      <c r="E178" s="36" t="s">
        <v>72</v>
      </c>
      <c r="F178" s="37" t="str">
        <f>IF($G178=$E$1,"","n")</f>
        <v/>
      </c>
      <c r="G178" s="95" t="s">
        <v>33</v>
      </c>
      <c r="H178" s="72" t="b">
        <v>0</v>
      </c>
      <c r="I178" s="48"/>
      <c r="J178" s="129" t="s">
        <v>56</v>
      </c>
      <c r="K178" s="129"/>
      <c r="L178" s="129"/>
      <c r="M178" s="129"/>
      <c r="N178" s="129"/>
      <c r="O178" s="129"/>
      <c r="P178" s="129"/>
      <c r="Q178" s="184" t="b">
        <v>0</v>
      </c>
      <c r="R178" s="185"/>
      <c r="S178" s="129" t="s">
        <v>56</v>
      </c>
      <c r="T178" s="129"/>
      <c r="U178" s="129"/>
      <c r="V178" s="129"/>
      <c r="W178" s="129"/>
      <c r="X178" s="187"/>
    </row>
    <row r="179" spans="1:24" ht="15.75" customHeight="1">
      <c r="A179" s="7" t="s">
        <v>4</v>
      </c>
      <c r="B179" s="29" t="s">
        <v>30</v>
      </c>
      <c r="C179" s="29" t="s">
        <v>30</v>
      </c>
      <c r="D179" s="102" t="s">
        <v>30</v>
      </c>
      <c r="E179" s="149" t="s">
        <v>122</v>
      </c>
      <c r="F179" s="149"/>
      <c r="G179" s="149"/>
      <c r="H179" s="72"/>
      <c r="I179" s="48"/>
      <c r="J179" s="129"/>
      <c r="K179" s="129"/>
      <c r="L179" s="129"/>
      <c r="M179" s="129"/>
      <c r="N179" s="129"/>
      <c r="O179" s="129"/>
      <c r="P179" s="129"/>
      <c r="Q179" s="184"/>
      <c r="R179" s="185"/>
      <c r="S179" s="129"/>
      <c r="T179" s="129"/>
      <c r="U179" s="129"/>
      <c r="V179" s="129"/>
      <c r="W179" s="129"/>
      <c r="X179" s="187"/>
    </row>
    <row r="180" spans="1:24" ht="15" customHeight="1">
      <c r="A180" s="131" t="s">
        <v>74</v>
      </c>
      <c r="B180" s="131"/>
      <c r="C180" s="131"/>
      <c r="D180" s="131"/>
      <c r="E180" s="149"/>
      <c r="F180" s="149"/>
      <c r="G180" s="149"/>
      <c r="H180" s="72" t="b">
        <v>0</v>
      </c>
      <c r="I180" s="48"/>
      <c r="J180" s="129" t="s">
        <v>57</v>
      </c>
      <c r="K180" s="129"/>
      <c r="L180" s="129"/>
      <c r="M180" s="129"/>
      <c r="N180" s="129"/>
      <c r="O180" s="129"/>
      <c r="P180" s="129"/>
      <c r="Q180" s="184" t="b">
        <v>0</v>
      </c>
      <c r="R180" s="185"/>
      <c r="S180" s="129" t="s">
        <v>57</v>
      </c>
      <c r="T180" s="129"/>
      <c r="U180" s="129"/>
      <c r="V180" s="129"/>
      <c r="W180" s="129"/>
      <c r="X180" s="187"/>
    </row>
    <row r="181" spans="1:24" ht="15.75">
      <c r="A181" s="192"/>
      <c r="B181" s="192"/>
      <c r="C181" s="192"/>
      <c r="D181" s="192"/>
      <c r="E181" s="36" t="s">
        <v>73</v>
      </c>
      <c r="F181" s="37" t="str">
        <f>IF($G181=$E$1,"","n")</f>
        <v/>
      </c>
      <c r="G181" s="95" t="s">
        <v>33</v>
      </c>
      <c r="H181" s="72"/>
      <c r="I181" s="48"/>
      <c r="J181" s="129"/>
      <c r="K181" s="129"/>
      <c r="L181" s="129"/>
      <c r="M181" s="129"/>
      <c r="N181" s="129"/>
      <c r="O181" s="129"/>
      <c r="P181" s="129"/>
      <c r="Q181" s="184"/>
      <c r="R181" s="185"/>
      <c r="S181" s="129"/>
      <c r="T181" s="129"/>
      <c r="U181" s="129"/>
      <c r="V181" s="129"/>
      <c r="W181" s="129"/>
      <c r="X181" s="187"/>
    </row>
    <row r="182" spans="1:24" ht="15.75" thickBot="1">
      <c r="A182" s="192"/>
      <c r="B182" s="192"/>
      <c r="C182" s="192"/>
      <c r="D182" s="192"/>
      <c r="E182" s="193" t="s">
        <v>78</v>
      </c>
      <c r="F182" s="193"/>
      <c r="G182" s="193"/>
      <c r="H182" s="67" t="b">
        <v>0</v>
      </c>
      <c r="I182" s="34"/>
      <c r="J182" s="194" t="s">
        <v>58</v>
      </c>
      <c r="K182" s="194"/>
      <c r="L182" s="194"/>
      <c r="M182" s="194"/>
      <c r="N182" s="194"/>
      <c r="O182" s="194"/>
      <c r="P182" s="194"/>
      <c r="Q182" s="76" t="b">
        <v>0</v>
      </c>
      <c r="R182" s="51"/>
      <c r="S182" s="32" t="s">
        <v>58</v>
      </c>
      <c r="T182" s="32"/>
      <c r="U182" s="32"/>
      <c r="V182" s="32"/>
      <c r="W182" s="32"/>
      <c r="X182" s="55"/>
    </row>
    <row r="183" spans="1:24" ht="15.75" customHeight="1" thickTop="1">
      <c r="A183" s="195" t="s">
        <v>96</v>
      </c>
      <c r="B183" s="195"/>
      <c r="C183" s="195"/>
      <c r="D183" s="195"/>
      <c r="E183" s="197" t="s">
        <v>100</v>
      </c>
      <c r="F183" s="197"/>
      <c r="G183" s="197"/>
      <c r="H183" s="71"/>
      <c r="I183" s="151" t="s">
        <v>84</v>
      </c>
      <c r="J183" s="152"/>
      <c r="K183" s="152"/>
      <c r="L183" s="152"/>
      <c r="M183" s="152"/>
      <c r="N183" s="152"/>
      <c r="O183" s="152"/>
      <c r="P183" s="153"/>
      <c r="Q183" s="45"/>
      <c r="R183" s="152" t="s">
        <v>77</v>
      </c>
      <c r="S183" s="152"/>
      <c r="T183" s="152"/>
      <c r="U183" s="152"/>
      <c r="V183" s="152"/>
      <c r="W183" s="152"/>
      <c r="X183" s="153"/>
    </row>
    <row r="184" spans="1:24">
      <c r="A184" s="195"/>
      <c r="B184" s="195"/>
      <c r="C184" s="195"/>
      <c r="D184" s="195"/>
      <c r="E184" s="198" t="s">
        <v>184</v>
      </c>
      <c r="F184" s="199"/>
      <c r="G184" s="200"/>
      <c r="H184" s="97"/>
      <c r="I184" s="173" t="s">
        <v>185</v>
      </c>
      <c r="J184" s="174"/>
      <c r="K184" s="174"/>
      <c r="L184" s="174"/>
      <c r="M184" s="174"/>
      <c r="N184" s="174"/>
      <c r="O184" s="174"/>
      <c r="P184" s="175"/>
      <c r="Q184" s="98"/>
      <c r="R184" s="169"/>
      <c r="S184" s="169"/>
      <c r="T184" s="169"/>
      <c r="U184" s="169"/>
      <c r="V184" s="169"/>
      <c r="W184" s="169"/>
      <c r="X184" s="170"/>
    </row>
    <row r="185" spans="1:24" ht="31.5" customHeight="1">
      <c r="A185" s="196"/>
      <c r="B185" s="196"/>
      <c r="C185" s="196"/>
      <c r="D185" s="196"/>
      <c r="E185" s="201"/>
      <c r="F185" s="201"/>
      <c r="G185" s="202"/>
      <c r="H185" s="99"/>
      <c r="I185" s="176"/>
      <c r="J185" s="177"/>
      <c r="K185" s="177"/>
      <c r="L185" s="177"/>
      <c r="M185" s="177"/>
      <c r="N185" s="177"/>
      <c r="O185" s="177"/>
      <c r="P185" s="178"/>
      <c r="Q185" s="100"/>
      <c r="R185" s="171"/>
      <c r="S185" s="171"/>
      <c r="T185" s="171"/>
      <c r="U185" s="171"/>
      <c r="V185" s="171"/>
      <c r="W185" s="171"/>
      <c r="X185" s="172"/>
    </row>
    <row r="186" spans="1:24" ht="15.75" thickBot="1"/>
    <row r="187" spans="1:24" s="3" customFormat="1" ht="15.75" thickTop="1">
      <c r="A187" s="39"/>
      <c r="B187" s="39"/>
      <c r="C187" s="39"/>
      <c r="D187" s="39"/>
      <c r="E187" s="166" t="s">
        <v>6</v>
      </c>
      <c r="F187" s="166"/>
      <c r="G187" s="167"/>
      <c r="H187" s="70"/>
      <c r="I187" s="47"/>
      <c r="J187" s="46" t="s">
        <v>82</v>
      </c>
      <c r="K187" s="46"/>
      <c r="L187" s="46"/>
      <c r="M187" s="46"/>
      <c r="N187" s="46"/>
      <c r="O187" s="46"/>
      <c r="P187" s="46"/>
      <c r="Q187" s="46"/>
      <c r="R187" s="46"/>
      <c r="S187" s="46"/>
      <c r="T187" s="46"/>
      <c r="U187" s="46"/>
      <c r="V187" s="46"/>
      <c r="W187" s="46"/>
      <c r="X187" s="47"/>
    </row>
    <row r="188" spans="1:24" ht="15.75" customHeight="1">
      <c r="A188" s="6" t="s">
        <v>108</v>
      </c>
      <c r="B188" s="168" t="s">
        <v>22</v>
      </c>
      <c r="C188" s="168"/>
      <c r="D188" s="168"/>
      <c r="E188" s="35" t="s">
        <v>67</v>
      </c>
      <c r="F188" s="35"/>
      <c r="G188" s="3"/>
      <c r="H188" s="64"/>
      <c r="I188" s="49">
        <f>N188/P188</f>
        <v>0</v>
      </c>
      <c r="J188" s="205" t="s">
        <v>95</v>
      </c>
      <c r="K188" s="205"/>
      <c r="L188" s="205"/>
      <c r="M188" s="205"/>
      <c r="N188" s="33">
        <f>COUNTIF($H189:$H203,TRUE)</f>
        <v>0</v>
      </c>
      <c r="O188" s="30" t="s">
        <v>92</v>
      </c>
      <c r="P188" s="57">
        <v>8</v>
      </c>
      <c r="Q188" s="94" t="s">
        <v>93</v>
      </c>
      <c r="R188" s="49">
        <f>V188/X188</f>
        <v>0</v>
      </c>
      <c r="S188" s="205" t="s">
        <v>83</v>
      </c>
      <c r="T188" s="205"/>
      <c r="U188" s="205"/>
      <c r="V188" s="33">
        <f>COUNTIF($Q189:$Q203,TRUE)</f>
        <v>0</v>
      </c>
      <c r="W188" s="30" t="s">
        <v>92</v>
      </c>
      <c r="X188" s="61">
        <v>8</v>
      </c>
    </row>
    <row r="189" spans="1:24" ht="15.75" customHeight="1">
      <c r="A189" s="6" t="s">
        <v>85</v>
      </c>
      <c r="B189" s="163"/>
      <c r="C189" s="163"/>
      <c r="D189" s="163"/>
      <c r="E189" s="36" t="s">
        <v>68</v>
      </c>
      <c r="F189" s="37" t="str">
        <f>IF($G189=$E$1,"","n")</f>
        <v/>
      </c>
      <c r="G189" s="95" t="s">
        <v>33</v>
      </c>
      <c r="H189" s="65" t="b">
        <v>0</v>
      </c>
      <c r="I189" s="42"/>
      <c r="J189" s="129" t="s">
        <v>101</v>
      </c>
      <c r="K189" s="129"/>
      <c r="L189" s="129"/>
      <c r="M189" s="129"/>
      <c r="N189" s="129"/>
      <c r="O189" s="129"/>
      <c r="P189" s="129"/>
      <c r="Q189" s="75" t="b">
        <v>0</v>
      </c>
      <c r="R189" s="96"/>
      <c r="S189" s="136" t="s">
        <v>101</v>
      </c>
      <c r="T189" s="136"/>
      <c r="U189" s="136"/>
      <c r="V189" s="136"/>
      <c r="W189" s="136"/>
      <c r="X189" s="188"/>
    </row>
    <row r="190" spans="1:24" ht="15" customHeight="1">
      <c r="A190" s="26" t="s">
        <v>86</v>
      </c>
      <c r="B190" s="164"/>
      <c r="C190" s="164"/>
      <c r="D190" s="164"/>
      <c r="E190" s="162" t="s">
        <v>87</v>
      </c>
      <c r="F190" s="162"/>
      <c r="G190" s="162"/>
      <c r="H190" s="72" t="b">
        <v>0</v>
      </c>
      <c r="I190" s="48"/>
      <c r="J190" s="189" t="s">
        <v>50</v>
      </c>
      <c r="K190" s="190"/>
      <c r="L190" s="190"/>
      <c r="M190" s="190"/>
      <c r="N190" s="190"/>
      <c r="O190" s="190"/>
      <c r="P190" s="190"/>
      <c r="Q190" s="184" t="b">
        <v>0</v>
      </c>
      <c r="R190" s="185"/>
      <c r="S190" s="190" t="s">
        <v>50</v>
      </c>
      <c r="T190" s="190"/>
      <c r="U190" s="190"/>
      <c r="V190" s="190"/>
      <c r="W190" s="190"/>
      <c r="X190" s="204"/>
    </row>
    <row r="191" spans="1:24" ht="15" customHeight="1">
      <c r="A191" s="26" t="s">
        <v>121</v>
      </c>
      <c r="B191" s="150"/>
      <c r="C191" s="150"/>
      <c r="D191" s="150"/>
      <c r="E191" s="162"/>
      <c r="F191" s="162"/>
      <c r="G191" s="162"/>
      <c r="H191" s="72"/>
      <c r="I191" s="48"/>
      <c r="J191" s="189"/>
      <c r="K191" s="190"/>
      <c r="L191" s="190"/>
      <c r="M191" s="190"/>
      <c r="N191" s="190"/>
      <c r="O191" s="190"/>
      <c r="P191" s="190"/>
      <c r="Q191" s="184"/>
      <c r="R191" s="185"/>
      <c r="S191" s="190"/>
      <c r="T191" s="190"/>
      <c r="U191" s="190"/>
      <c r="V191" s="190"/>
      <c r="W191" s="190"/>
      <c r="X191" s="204"/>
    </row>
    <row r="192" spans="1:24" ht="17.25" customHeight="1">
      <c r="A192" s="27" t="s">
        <v>109</v>
      </c>
      <c r="B192" s="160"/>
      <c r="C192" s="160"/>
      <c r="D192" s="160"/>
      <c r="E192" s="36" t="s">
        <v>69</v>
      </c>
      <c r="F192" s="37" t="str">
        <f>IF($G192=$E$1,"","n")</f>
        <v/>
      </c>
      <c r="G192" s="95" t="s">
        <v>33</v>
      </c>
      <c r="H192" s="72"/>
      <c r="I192" s="48"/>
      <c r="J192" s="189"/>
      <c r="K192" s="190"/>
      <c r="L192" s="190"/>
      <c r="M192" s="190"/>
      <c r="N192" s="190"/>
      <c r="O192" s="190"/>
      <c r="P192" s="190"/>
      <c r="Q192" s="184"/>
      <c r="R192" s="185"/>
      <c r="S192" s="190"/>
      <c r="T192" s="190"/>
      <c r="U192" s="190"/>
      <c r="V192" s="190"/>
      <c r="W192" s="190"/>
      <c r="X192" s="204"/>
    </row>
    <row r="193" spans="1:24" ht="15.75" customHeight="1">
      <c r="A193" s="28" t="s">
        <v>90</v>
      </c>
      <c r="B193" s="161" t="s">
        <v>22</v>
      </c>
      <c r="C193" s="161"/>
      <c r="D193" s="161"/>
      <c r="E193" s="162" t="s">
        <v>88</v>
      </c>
      <c r="F193" s="162"/>
      <c r="G193" s="162"/>
      <c r="H193" s="72" t="b">
        <v>0</v>
      </c>
      <c r="I193" s="48"/>
      <c r="J193" s="129" t="s">
        <v>102</v>
      </c>
      <c r="K193" s="129"/>
      <c r="L193" s="129"/>
      <c r="M193" s="129"/>
      <c r="N193" s="129"/>
      <c r="O193" s="129"/>
      <c r="P193" s="129"/>
      <c r="Q193" s="184" t="b">
        <v>0</v>
      </c>
      <c r="R193" s="185"/>
      <c r="S193" s="129" t="s">
        <v>102</v>
      </c>
      <c r="T193" s="129"/>
      <c r="U193" s="129"/>
      <c r="V193" s="129"/>
      <c r="W193" s="129"/>
      <c r="X193" s="187"/>
    </row>
    <row r="194" spans="1:24" ht="15" customHeight="1">
      <c r="A194" s="27" t="s">
        <v>110</v>
      </c>
      <c r="B194" s="160"/>
      <c r="C194" s="160"/>
      <c r="D194" s="160"/>
      <c r="E194" s="162"/>
      <c r="F194" s="162"/>
      <c r="G194" s="162"/>
      <c r="H194" s="72"/>
      <c r="I194" s="48"/>
      <c r="J194" s="129"/>
      <c r="K194" s="129"/>
      <c r="L194" s="129"/>
      <c r="M194" s="129"/>
      <c r="N194" s="129"/>
      <c r="O194" s="129"/>
      <c r="P194" s="129"/>
      <c r="Q194" s="184"/>
      <c r="R194" s="185"/>
      <c r="S194" s="129"/>
      <c r="T194" s="129"/>
      <c r="U194" s="129"/>
      <c r="V194" s="129"/>
      <c r="W194" s="129"/>
      <c r="X194" s="187"/>
    </row>
    <row r="195" spans="1:24" ht="15" customHeight="1">
      <c r="A195" s="6" t="s">
        <v>90</v>
      </c>
      <c r="B195" s="161" t="s">
        <v>22</v>
      </c>
      <c r="C195" s="161"/>
      <c r="D195" s="161"/>
      <c r="E195" s="36" t="s">
        <v>70</v>
      </c>
      <c r="F195" s="37" t="str">
        <f>IF($G195=$E$1,"","n")</f>
        <v/>
      </c>
      <c r="G195" s="95" t="s">
        <v>33</v>
      </c>
      <c r="H195" s="72" t="b">
        <v>0</v>
      </c>
      <c r="I195" s="48"/>
      <c r="J195" s="183" t="s">
        <v>103</v>
      </c>
      <c r="K195" s="183"/>
      <c r="L195" s="183"/>
      <c r="M195" s="183"/>
      <c r="N195" s="183"/>
      <c r="O195" s="183"/>
      <c r="P195" s="183"/>
      <c r="Q195" s="184" t="b">
        <v>0</v>
      </c>
      <c r="R195" s="185"/>
      <c r="S195" s="129" t="s">
        <v>103</v>
      </c>
      <c r="T195" s="129"/>
      <c r="U195" s="129"/>
      <c r="V195" s="129"/>
      <c r="W195" s="129"/>
      <c r="X195" s="187"/>
    </row>
    <row r="196" spans="1:24" ht="15" customHeight="1">
      <c r="A196" s="6" t="s">
        <v>91</v>
      </c>
      <c r="B196" s="203" t="s">
        <v>22</v>
      </c>
      <c r="C196" s="203"/>
      <c r="D196" s="203"/>
      <c r="E196" s="162" t="s">
        <v>89</v>
      </c>
      <c r="F196" s="162"/>
      <c r="G196" s="162"/>
      <c r="H196" s="72"/>
      <c r="I196" s="48"/>
      <c r="J196" s="183"/>
      <c r="K196" s="183"/>
      <c r="L196" s="183"/>
      <c r="M196" s="183"/>
      <c r="N196" s="183"/>
      <c r="O196" s="183"/>
      <c r="P196" s="183"/>
      <c r="Q196" s="184"/>
      <c r="R196" s="185"/>
      <c r="S196" s="129"/>
      <c r="T196" s="129"/>
      <c r="U196" s="129"/>
      <c r="V196" s="129"/>
      <c r="W196" s="129"/>
      <c r="X196" s="187"/>
    </row>
    <row r="197" spans="1:24" ht="15" customHeight="1">
      <c r="A197" s="3"/>
      <c r="B197" s="104">
        <f>EVI_Score1</f>
        <v>2016</v>
      </c>
      <c r="C197" s="104">
        <f>EVI_Score2</f>
        <v>2015</v>
      </c>
      <c r="D197" s="105">
        <f>EVI_Score3</f>
        <v>2014</v>
      </c>
      <c r="E197" s="162"/>
      <c r="F197" s="162"/>
      <c r="G197" s="162"/>
      <c r="H197" s="72" t="b">
        <v>0</v>
      </c>
      <c r="I197" s="48"/>
      <c r="J197" s="183" t="s">
        <v>104</v>
      </c>
      <c r="K197" s="183"/>
      <c r="L197" s="183"/>
      <c r="M197" s="183"/>
      <c r="N197" s="183"/>
      <c r="O197" s="183"/>
      <c r="P197" s="183"/>
      <c r="Q197" s="184" t="b">
        <v>0</v>
      </c>
      <c r="R197" s="185"/>
      <c r="S197" s="183" t="s">
        <v>104</v>
      </c>
      <c r="T197" s="183"/>
      <c r="U197" s="183"/>
      <c r="V197" s="183"/>
      <c r="W197" s="183"/>
      <c r="X197" s="186"/>
    </row>
    <row r="198" spans="1:24" ht="15.75">
      <c r="A198" s="7" t="s">
        <v>3</v>
      </c>
      <c r="B198" s="89"/>
      <c r="C198" s="89"/>
      <c r="D198" s="103" t="s">
        <v>30</v>
      </c>
      <c r="E198" s="38" t="s">
        <v>71</v>
      </c>
      <c r="F198" s="86"/>
      <c r="G198" s="86"/>
      <c r="H198" s="72"/>
      <c r="I198" s="48"/>
      <c r="J198" s="183"/>
      <c r="K198" s="183"/>
      <c r="L198" s="183"/>
      <c r="M198" s="183"/>
      <c r="N198" s="183"/>
      <c r="O198" s="183"/>
      <c r="P198" s="183"/>
      <c r="Q198" s="184"/>
      <c r="R198" s="185"/>
      <c r="S198" s="183"/>
      <c r="T198" s="183"/>
      <c r="U198" s="183"/>
      <c r="V198" s="183"/>
      <c r="W198" s="183"/>
      <c r="X198" s="186"/>
    </row>
    <row r="199" spans="1:24" ht="15.75" customHeight="1">
      <c r="B199" s="104">
        <f>PMP_Y1</f>
        <v>2015</v>
      </c>
      <c r="C199" s="104">
        <f>PMP_Y2</f>
        <v>2014</v>
      </c>
      <c r="D199" s="105">
        <f>PMP_Y3</f>
        <v>2013</v>
      </c>
      <c r="E199" s="36" t="s">
        <v>72</v>
      </c>
      <c r="F199" s="37" t="str">
        <f>IF($G199=$E$1,"","n")</f>
        <v/>
      </c>
      <c r="G199" s="95" t="s">
        <v>33</v>
      </c>
      <c r="H199" s="72" t="b">
        <v>0</v>
      </c>
      <c r="I199" s="48"/>
      <c r="J199" s="129" t="s">
        <v>56</v>
      </c>
      <c r="K199" s="129"/>
      <c r="L199" s="129"/>
      <c r="M199" s="129"/>
      <c r="N199" s="129"/>
      <c r="O199" s="129"/>
      <c r="P199" s="129"/>
      <c r="Q199" s="184" t="b">
        <v>0</v>
      </c>
      <c r="R199" s="185"/>
      <c r="S199" s="129" t="s">
        <v>56</v>
      </c>
      <c r="T199" s="129"/>
      <c r="U199" s="129"/>
      <c r="V199" s="129"/>
      <c r="W199" s="129"/>
      <c r="X199" s="187"/>
    </row>
    <row r="200" spans="1:24" ht="15.75" customHeight="1">
      <c r="A200" s="7" t="s">
        <v>4</v>
      </c>
      <c r="B200" s="29" t="s">
        <v>22</v>
      </c>
      <c r="C200" s="29" t="s">
        <v>22</v>
      </c>
      <c r="D200" s="102" t="s">
        <v>22</v>
      </c>
      <c r="E200" s="149" t="s">
        <v>122</v>
      </c>
      <c r="F200" s="149"/>
      <c r="G200" s="149"/>
      <c r="H200" s="72"/>
      <c r="I200" s="48"/>
      <c r="J200" s="129"/>
      <c r="K200" s="129"/>
      <c r="L200" s="129"/>
      <c r="M200" s="129"/>
      <c r="N200" s="129"/>
      <c r="O200" s="129"/>
      <c r="P200" s="129"/>
      <c r="Q200" s="184"/>
      <c r="R200" s="185"/>
      <c r="S200" s="129"/>
      <c r="T200" s="129"/>
      <c r="U200" s="129"/>
      <c r="V200" s="129"/>
      <c r="W200" s="129"/>
      <c r="X200" s="187"/>
    </row>
    <row r="201" spans="1:24" ht="15" customHeight="1">
      <c r="A201" s="131" t="s">
        <v>74</v>
      </c>
      <c r="B201" s="131"/>
      <c r="C201" s="131"/>
      <c r="D201" s="131"/>
      <c r="E201" s="149"/>
      <c r="F201" s="149"/>
      <c r="G201" s="149"/>
      <c r="H201" s="72" t="b">
        <v>0</v>
      </c>
      <c r="I201" s="48"/>
      <c r="J201" s="129" t="s">
        <v>57</v>
      </c>
      <c r="K201" s="129"/>
      <c r="L201" s="129"/>
      <c r="M201" s="129"/>
      <c r="N201" s="129"/>
      <c r="O201" s="129"/>
      <c r="P201" s="129"/>
      <c r="Q201" s="184" t="b">
        <v>0</v>
      </c>
      <c r="R201" s="185"/>
      <c r="S201" s="129" t="s">
        <v>57</v>
      </c>
      <c r="T201" s="129"/>
      <c r="U201" s="129"/>
      <c r="V201" s="129"/>
      <c r="W201" s="129"/>
      <c r="X201" s="187"/>
    </row>
    <row r="202" spans="1:24" ht="15.75">
      <c r="A202" s="192"/>
      <c r="B202" s="192"/>
      <c r="C202" s="192"/>
      <c r="D202" s="192"/>
      <c r="E202" s="36" t="s">
        <v>73</v>
      </c>
      <c r="F202" s="37" t="str">
        <f>IF($G202=$E$1,"","n")</f>
        <v/>
      </c>
      <c r="G202" s="95" t="s">
        <v>33</v>
      </c>
      <c r="H202" s="72"/>
      <c r="I202" s="48"/>
      <c r="J202" s="129"/>
      <c r="K202" s="129"/>
      <c r="L202" s="129"/>
      <c r="M202" s="129"/>
      <c r="N202" s="129"/>
      <c r="O202" s="129"/>
      <c r="P202" s="129"/>
      <c r="Q202" s="184"/>
      <c r="R202" s="185"/>
      <c r="S202" s="129"/>
      <c r="T202" s="129"/>
      <c r="U202" s="129"/>
      <c r="V202" s="129"/>
      <c r="W202" s="129"/>
      <c r="X202" s="187"/>
    </row>
    <row r="203" spans="1:24" ht="15.75" thickBot="1">
      <c r="A203" s="192"/>
      <c r="B203" s="192"/>
      <c r="C203" s="192"/>
      <c r="D203" s="192"/>
      <c r="E203" s="193" t="s">
        <v>78</v>
      </c>
      <c r="F203" s="193"/>
      <c r="G203" s="193"/>
      <c r="H203" s="67" t="b">
        <v>0</v>
      </c>
      <c r="I203" s="34"/>
      <c r="J203" s="194" t="s">
        <v>58</v>
      </c>
      <c r="K203" s="194"/>
      <c r="L203" s="194"/>
      <c r="M203" s="194"/>
      <c r="N203" s="194"/>
      <c r="O203" s="194"/>
      <c r="P203" s="194"/>
      <c r="Q203" s="76" t="b">
        <v>0</v>
      </c>
      <c r="R203" s="51"/>
      <c r="S203" s="32" t="s">
        <v>58</v>
      </c>
      <c r="T203" s="32"/>
      <c r="U203" s="32"/>
      <c r="V203" s="32"/>
      <c r="W203" s="32"/>
      <c r="X203" s="55"/>
    </row>
    <row r="204" spans="1:24" ht="15.75" customHeight="1" thickTop="1">
      <c r="A204" s="195" t="s">
        <v>96</v>
      </c>
      <c r="B204" s="195"/>
      <c r="C204" s="195"/>
      <c r="D204" s="195"/>
      <c r="E204" s="197" t="s">
        <v>100</v>
      </c>
      <c r="F204" s="197"/>
      <c r="G204" s="197"/>
      <c r="H204" s="71"/>
      <c r="I204" s="151" t="s">
        <v>84</v>
      </c>
      <c r="J204" s="152"/>
      <c r="K204" s="152"/>
      <c r="L204" s="152"/>
      <c r="M204" s="152"/>
      <c r="N204" s="152"/>
      <c r="O204" s="152"/>
      <c r="P204" s="153"/>
      <c r="Q204" s="45"/>
      <c r="R204" s="152" t="s">
        <v>77</v>
      </c>
      <c r="S204" s="152"/>
      <c r="T204" s="152"/>
      <c r="U204" s="152"/>
      <c r="V204" s="152"/>
      <c r="W204" s="152"/>
      <c r="X204" s="153"/>
    </row>
    <row r="205" spans="1:24">
      <c r="A205" s="195"/>
      <c r="B205" s="195"/>
      <c r="C205" s="195"/>
      <c r="D205" s="195"/>
      <c r="E205" s="198"/>
      <c r="F205" s="199"/>
      <c r="G205" s="200"/>
      <c r="H205" s="97"/>
      <c r="I205" s="173"/>
      <c r="J205" s="174"/>
      <c r="K205" s="174"/>
      <c r="L205" s="174"/>
      <c r="M205" s="174"/>
      <c r="N205" s="174"/>
      <c r="O205" s="174"/>
      <c r="P205" s="175"/>
      <c r="Q205" s="98"/>
      <c r="R205" s="169"/>
      <c r="S205" s="169"/>
      <c r="T205" s="169"/>
      <c r="U205" s="169"/>
      <c r="V205" s="169"/>
      <c r="W205" s="169"/>
      <c r="X205" s="170"/>
    </row>
    <row r="206" spans="1:24" ht="31.5" customHeight="1">
      <c r="A206" s="196"/>
      <c r="B206" s="196"/>
      <c r="C206" s="196"/>
      <c r="D206" s="196"/>
      <c r="E206" s="201"/>
      <c r="F206" s="201"/>
      <c r="G206" s="202"/>
      <c r="H206" s="99"/>
      <c r="I206" s="176"/>
      <c r="J206" s="177"/>
      <c r="K206" s="177"/>
      <c r="L206" s="177"/>
      <c r="M206" s="177"/>
      <c r="N206" s="177"/>
      <c r="O206" s="177"/>
      <c r="P206" s="178"/>
      <c r="Q206" s="100"/>
      <c r="R206" s="171"/>
      <c r="S206" s="171"/>
      <c r="T206" s="171"/>
      <c r="U206" s="171"/>
      <c r="V206" s="171"/>
      <c r="W206" s="171"/>
      <c r="X206" s="172"/>
    </row>
    <row r="207" spans="1:24" ht="15.75" thickBot="1"/>
    <row r="208" spans="1:24" s="3" customFormat="1" ht="15.75" thickTop="1">
      <c r="A208" s="39"/>
      <c r="B208" s="39"/>
      <c r="C208" s="39"/>
      <c r="D208" s="39"/>
      <c r="E208" s="166" t="s">
        <v>6</v>
      </c>
      <c r="F208" s="166"/>
      <c r="G208" s="167"/>
      <c r="H208" s="70"/>
      <c r="I208" s="47"/>
      <c r="J208" s="46" t="s">
        <v>82</v>
      </c>
      <c r="K208" s="46"/>
      <c r="L208" s="46"/>
      <c r="M208" s="46"/>
      <c r="N208" s="46"/>
      <c r="O208" s="46"/>
      <c r="P208" s="46"/>
      <c r="Q208" s="46"/>
      <c r="R208" s="46"/>
      <c r="S208" s="46"/>
      <c r="T208" s="46"/>
      <c r="U208" s="46"/>
      <c r="V208" s="46"/>
      <c r="W208" s="46"/>
      <c r="X208" s="47"/>
    </row>
    <row r="209" spans="1:24" ht="15.75" customHeight="1">
      <c r="A209" s="6" t="s">
        <v>108</v>
      </c>
      <c r="B209" s="168" t="s">
        <v>22</v>
      </c>
      <c r="C209" s="168"/>
      <c r="D209" s="168"/>
      <c r="E209" s="35" t="s">
        <v>67</v>
      </c>
      <c r="F209" s="35"/>
      <c r="G209" s="3"/>
      <c r="H209" s="64"/>
      <c r="I209" s="49">
        <f>N209/P209</f>
        <v>0</v>
      </c>
      <c r="J209" s="205" t="s">
        <v>95</v>
      </c>
      <c r="K209" s="205"/>
      <c r="L209" s="205"/>
      <c r="M209" s="205"/>
      <c r="N209" s="33">
        <f>COUNTIF($H210:$H224,TRUE)</f>
        <v>0</v>
      </c>
      <c r="O209" s="30" t="s">
        <v>92</v>
      </c>
      <c r="P209" s="57">
        <v>8</v>
      </c>
      <c r="Q209" s="94" t="s">
        <v>93</v>
      </c>
      <c r="R209" s="49">
        <f>V209/X209</f>
        <v>0</v>
      </c>
      <c r="S209" s="205" t="s">
        <v>83</v>
      </c>
      <c r="T209" s="205"/>
      <c r="U209" s="205"/>
      <c r="V209" s="33">
        <f>COUNTIF($Q210:$Q224,TRUE)</f>
        <v>0</v>
      </c>
      <c r="W209" s="30" t="s">
        <v>92</v>
      </c>
      <c r="X209" s="61">
        <v>8</v>
      </c>
    </row>
    <row r="210" spans="1:24" ht="15.75" customHeight="1">
      <c r="A210" s="6" t="s">
        <v>85</v>
      </c>
      <c r="B210" s="163"/>
      <c r="C210" s="163"/>
      <c r="D210" s="163"/>
      <c r="E210" s="36" t="s">
        <v>68</v>
      </c>
      <c r="F210" s="37" t="str">
        <f>IF($G210=$E$1,"","n")</f>
        <v/>
      </c>
      <c r="G210" s="95" t="s">
        <v>33</v>
      </c>
      <c r="H210" s="65" t="b">
        <v>0</v>
      </c>
      <c r="I210" s="42"/>
      <c r="J210" s="129" t="s">
        <v>101</v>
      </c>
      <c r="K210" s="129"/>
      <c r="L210" s="129"/>
      <c r="M210" s="129"/>
      <c r="N210" s="129"/>
      <c r="O210" s="129"/>
      <c r="P210" s="129"/>
      <c r="Q210" s="75" t="b">
        <v>0</v>
      </c>
      <c r="R210" s="96"/>
      <c r="S210" s="136" t="s">
        <v>101</v>
      </c>
      <c r="T210" s="136"/>
      <c r="U210" s="136"/>
      <c r="V210" s="136"/>
      <c r="W210" s="136"/>
      <c r="X210" s="188"/>
    </row>
    <row r="211" spans="1:24" ht="15" customHeight="1">
      <c r="A211" s="26" t="s">
        <v>86</v>
      </c>
      <c r="B211" s="164"/>
      <c r="C211" s="164"/>
      <c r="D211" s="164"/>
      <c r="E211" s="162" t="s">
        <v>87</v>
      </c>
      <c r="F211" s="162"/>
      <c r="G211" s="162"/>
      <c r="H211" s="72" t="b">
        <v>0</v>
      </c>
      <c r="I211" s="48"/>
      <c r="J211" s="189" t="s">
        <v>50</v>
      </c>
      <c r="K211" s="190"/>
      <c r="L211" s="190"/>
      <c r="M211" s="190"/>
      <c r="N211" s="190"/>
      <c r="O211" s="190"/>
      <c r="P211" s="190"/>
      <c r="Q211" s="184" t="b">
        <v>0</v>
      </c>
      <c r="R211" s="185"/>
      <c r="S211" s="190" t="s">
        <v>50</v>
      </c>
      <c r="T211" s="190"/>
      <c r="U211" s="190"/>
      <c r="V211" s="190"/>
      <c r="W211" s="190"/>
      <c r="X211" s="204"/>
    </row>
    <row r="212" spans="1:24" ht="15" customHeight="1">
      <c r="A212" s="26" t="s">
        <v>121</v>
      </c>
      <c r="B212" s="150"/>
      <c r="C212" s="150"/>
      <c r="D212" s="150"/>
      <c r="E212" s="162"/>
      <c r="F212" s="162"/>
      <c r="G212" s="162"/>
      <c r="H212" s="72"/>
      <c r="I212" s="48"/>
      <c r="J212" s="189"/>
      <c r="K212" s="190"/>
      <c r="L212" s="190"/>
      <c r="M212" s="190"/>
      <c r="N212" s="190"/>
      <c r="O212" s="190"/>
      <c r="P212" s="190"/>
      <c r="Q212" s="184"/>
      <c r="R212" s="185"/>
      <c r="S212" s="190"/>
      <c r="T212" s="190"/>
      <c r="U212" s="190"/>
      <c r="V212" s="190"/>
      <c r="W212" s="190"/>
      <c r="X212" s="204"/>
    </row>
    <row r="213" spans="1:24" ht="17.25" customHeight="1">
      <c r="A213" s="27" t="s">
        <v>109</v>
      </c>
      <c r="B213" s="160" t="s">
        <v>75</v>
      </c>
      <c r="C213" s="160"/>
      <c r="D213" s="160"/>
      <c r="E213" s="36" t="s">
        <v>69</v>
      </c>
      <c r="F213" s="37" t="str">
        <f>IF($G213=$E$1,"","n")</f>
        <v/>
      </c>
      <c r="G213" s="95" t="s">
        <v>33</v>
      </c>
      <c r="H213" s="72"/>
      <c r="I213" s="48"/>
      <c r="J213" s="189"/>
      <c r="K213" s="190"/>
      <c r="L213" s="190"/>
      <c r="M213" s="190"/>
      <c r="N213" s="190"/>
      <c r="O213" s="190"/>
      <c r="P213" s="190"/>
      <c r="Q213" s="184"/>
      <c r="R213" s="185"/>
      <c r="S213" s="190"/>
      <c r="T213" s="190"/>
      <c r="U213" s="190"/>
      <c r="V213" s="190"/>
      <c r="W213" s="190"/>
      <c r="X213" s="204"/>
    </row>
    <row r="214" spans="1:24" ht="15.75" customHeight="1">
      <c r="A214" s="28" t="s">
        <v>90</v>
      </c>
      <c r="B214" s="161" t="s">
        <v>22</v>
      </c>
      <c r="C214" s="161"/>
      <c r="D214" s="161"/>
      <c r="E214" s="162" t="s">
        <v>88</v>
      </c>
      <c r="F214" s="162"/>
      <c r="G214" s="162"/>
      <c r="H214" s="72" t="b">
        <v>0</v>
      </c>
      <c r="I214" s="48"/>
      <c r="J214" s="129" t="s">
        <v>102</v>
      </c>
      <c r="K214" s="129"/>
      <c r="L214" s="129"/>
      <c r="M214" s="129"/>
      <c r="N214" s="129"/>
      <c r="O214" s="129"/>
      <c r="P214" s="129"/>
      <c r="Q214" s="184" t="b">
        <v>0</v>
      </c>
      <c r="R214" s="185"/>
      <c r="S214" s="129" t="s">
        <v>102</v>
      </c>
      <c r="T214" s="129"/>
      <c r="U214" s="129"/>
      <c r="V214" s="129"/>
      <c r="W214" s="129"/>
      <c r="X214" s="187"/>
    </row>
    <row r="215" spans="1:24" ht="15" customHeight="1">
      <c r="A215" s="27" t="s">
        <v>110</v>
      </c>
      <c r="B215" s="160" t="s">
        <v>76</v>
      </c>
      <c r="C215" s="160"/>
      <c r="D215" s="160"/>
      <c r="E215" s="162"/>
      <c r="F215" s="162"/>
      <c r="G215" s="162"/>
      <c r="H215" s="72"/>
      <c r="I215" s="48"/>
      <c r="J215" s="129"/>
      <c r="K215" s="129"/>
      <c r="L215" s="129"/>
      <c r="M215" s="129"/>
      <c r="N215" s="129"/>
      <c r="O215" s="129"/>
      <c r="P215" s="129"/>
      <c r="Q215" s="184"/>
      <c r="R215" s="185"/>
      <c r="S215" s="129"/>
      <c r="T215" s="129"/>
      <c r="U215" s="129"/>
      <c r="V215" s="129"/>
      <c r="W215" s="129"/>
      <c r="X215" s="187"/>
    </row>
    <row r="216" spans="1:24" ht="15" customHeight="1">
      <c r="A216" s="6" t="s">
        <v>90</v>
      </c>
      <c r="B216" s="161" t="s">
        <v>22</v>
      </c>
      <c r="C216" s="161"/>
      <c r="D216" s="161"/>
      <c r="E216" s="36" t="s">
        <v>70</v>
      </c>
      <c r="F216" s="37" t="str">
        <f>IF($G216=$E$1,"","n")</f>
        <v/>
      </c>
      <c r="G216" s="95" t="s">
        <v>33</v>
      </c>
      <c r="H216" s="72" t="b">
        <v>0</v>
      </c>
      <c r="I216" s="48"/>
      <c r="J216" s="183" t="s">
        <v>103</v>
      </c>
      <c r="K216" s="183"/>
      <c r="L216" s="183"/>
      <c r="M216" s="183"/>
      <c r="N216" s="183"/>
      <c r="O216" s="183"/>
      <c r="P216" s="183"/>
      <c r="Q216" s="184" t="b">
        <v>0</v>
      </c>
      <c r="R216" s="185"/>
      <c r="S216" s="129" t="s">
        <v>103</v>
      </c>
      <c r="T216" s="129"/>
      <c r="U216" s="129"/>
      <c r="V216" s="129"/>
      <c r="W216" s="129"/>
      <c r="X216" s="187"/>
    </row>
    <row r="217" spans="1:24" ht="15" customHeight="1">
      <c r="A217" s="6" t="s">
        <v>91</v>
      </c>
      <c r="B217" s="203" t="s">
        <v>22</v>
      </c>
      <c r="C217" s="203"/>
      <c r="D217" s="203"/>
      <c r="E217" s="162" t="s">
        <v>89</v>
      </c>
      <c r="F217" s="162"/>
      <c r="G217" s="162"/>
      <c r="H217" s="72"/>
      <c r="I217" s="48"/>
      <c r="J217" s="183"/>
      <c r="K217" s="183"/>
      <c r="L217" s="183"/>
      <c r="M217" s="183"/>
      <c r="N217" s="183"/>
      <c r="O217" s="183"/>
      <c r="P217" s="183"/>
      <c r="Q217" s="184"/>
      <c r="R217" s="185"/>
      <c r="S217" s="129"/>
      <c r="T217" s="129"/>
      <c r="U217" s="129"/>
      <c r="V217" s="129"/>
      <c r="W217" s="129"/>
      <c r="X217" s="187"/>
    </row>
    <row r="218" spans="1:24" ht="15" customHeight="1">
      <c r="A218" s="3"/>
      <c r="B218" s="104">
        <f>EVI_Score1</f>
        <v>2016</v>
      </c>
      <c r="C218" s="104">
        <f>EVI_Score2</f>
        <v>2015</v>
      </c>
      <c r="D218" s="105">
        <f>EVI_Score3</f>
        <v>2014</v>
      </c>
      <c r="E218" s="162"/>
      <c r="F218" s="162"/>
      <c r="G218" s="162"/>
      <c r="H218" s="72" t="b">
        <v>0</v>
      </c>
      <c r="I218" s="48"/>
      <c r="J218" s="183" t="s">
        <v>104</v>
      </c>
      <c r="K218" s="183"/>
      <c r="L218" s="183"/>
      <c r="M218" s="183"/>
      <c r="N218" s="183"/>
      <c r="O218" s="183"/>
      <c r="P218" s="183"/>
      <c r="Q218" s="184" t="b">
        <v>0</v>
      </c>
      <c r="R218" s="185"/>
      <c r="S218" s="183" t="s">
        <v>104</v>
      </c>
      <c r="T218" s="183"/>
      <c r="U218" s="183"/>
      <c r="V218" s="183"/>
      <c r="W218" s="183"/>
      <c r="X218" s="186"/>
    </row>
    <row r="219" spans="1:24" ht="15.75">
      <c r="A219" s="7" t="s">
        <v>3</v>
      </c>
      <c r="B219" s="89"/>
      <c r="C219" s="89"/>
      <c r="D219" s="103" t="s">
        <v>30</v>
      </c>
      <c r="E219" s="38" t="s">
        <v>71</v>
      </c>
      <c r="F219" s="86"/>
      <c r="G219" s="86"/>
      <c r="H219" s="72"/>
      <c r="I219" s="48"/>
      <c r="J219" s="183"/>
      <c r="K219" s="183"/>
      <c r="L219" s="183"/>
      <c r="M219" s="183"/>
      <c r="N219" s="183"/>
      <c r="O219" s="183"/>
      <c r="P219" s="183"/>
      <c r="Q219" s="184"/>
      <c r="R219" s="185"/>
      <c r="S219" s="183"/>
      <c r="T219" s="183"/>
      <c r="U219" s="183"/>
      <c r="V219" s="183"/>
      <c r="W219" s="183"/>
      <c r="X219" s="186"/>
    </row>
    <row r="220" spans="1:24" ht="15.75" customHeight="1">
      <c r="B220" s="104">
        <f>PMP_Y1</f>
        <v>2015</v>
      </c>
      <c r="C220" s="104">
        <f>PMP_Y2</f>
        <v>2014</v>
      </c>
      <c r="D220" s="105">
        <f>PMP_Y3</f>
        <v>2013</v>
      </c>
      <c r="E220" s="36" t="s">
        <v>72</v>
      </c>
      <c r="F220" s="37" t="str">
        <f>IF($G220=$E$1,"","n")</f>
        <v/>
      </c>
      <c r="G220" s="95" t="s">
        <v>33</v>
      </c>
      <c r="H220" s="72" t="b">
        <v>0</v>
      </c>
      <c r="I220" s="48"/>
      <c r="J220" s="129" t="s">
        <v>56</v>
      </c>
      <c r="K220" s="129"/>
      <c r="L220" s="129"/>
      <c r="M220" s="129"/>
      <c r="N220" s="129"/>
      <c r="O220" s="129"/>
      <c r="P220" s="129"/>
      <c r="Q220" s="184" t="b">
        <v>0</v>
      </c>
      <c r="R220" s="185"/>
      <c r="S220" s="129" t="s">
        <v>56</v>
      </c>
      <c r="T220" s="129"/>
      <c r="U220" s="129"/>
      <c r="V220" s="129"/>
      <c r="W220" s="129"/>
      <c r="X220" s="187"/>
    </row>
    <row r="221" spans="1:24" ht="15.75" customHeight="1">
      <c r="A221" s="7" t="s">
        <v>4</v>
      </c>
      <c r="B221" s="29" t="s">
        <v>22</v>
      </c>
      <c r="C221" s="29" t="s">
        <v>22</v>
      </c>
      <c r="D221" s="102" t="s">
        <v>22</v>
      </c>
      <c r="E221" s="149" t="s">
        <v>122</v>
      </c>
      <c r="F221" s="149"/>
      <c r="G221" s="149"/>
      <c r="H221" s="72"/>
      <c r="I221" s="48"/>
      <c r="J221" s="129"/>
      <c r="K221" s="129"/>
      <c r="L221" s="129"/>
      <c r="M221" s="129"/>
      <c r="N221" s="129"/>
      <c r="O221" s="129"/>
      <c r="P221" s="129"/>
      <c r="Q221" s="184"/>
      <c r="R221" s="185"/>
      <c r="S221" s="129"/>
      <c r="T221" s="129"/>
      <c r="U221" s="129"/>
      <c r="V221" s="129"/>
      <c r="W221" s="129"/>
      <c r="X221" s="187"/>
    </row>
    <row r="222" spans="1:24" ht="15" customHeight="1">
      <c r="A222" s="131" t="s">
        <v>74</v>
      </c>
      <c r="B222" s="131"/>
      <c r="C222" s="131"/>
      <c r="D222" s="131"/>
      <c r="E222" s="149"/>
      <c r="F222" s="149"/>
      <c r="G222" s="149"/>
      <c r="H222" s="72" t="b">
        <v>0</v>
      </c>
      <c r="I222" s="48"/>
      <c r="J222" s="129" t="s">
        <v>57</v>
      </c>
      <c r="K222" s="129"/>
      <c r="L222" s="129"/>
      <c r="M222" s="129"/>
      <c r="N222" s="129"/>
      <c r="O222" s="129"/>
      <c r="P222" s="129"/>
      <c r="Q222" s="184" t="b">
        <v>0</v>
      </c>
      <c r="R222" s="185"/>
      <c r="S222" s="129" t="s">
        <v>57</v>
      </c>
      <c r="T222" s="129"/>
      <c r="U222" s="129"/>
      <c r="V222" s="129"/>
      <c r="W222" s="129"/>
      <c r="X222" s="187"/>
    </row>
    <row r="223" spans="1:24" ht="15.75">
      <c r="A223" s="192"/>
      <c r="B223" s="192"/>
      <c r="C223" s="192"/>
      <c r="D223" s="192"/>
      <c r="E223" s="36" t="s">
        <v>73</v>
      </c>
      <c r="F223" s="37" t="str">
        <f>IF($G223=$E$1,"","n")</f>
        <v/>
      </c>
      <c r="G223" s="95" t="s">
        <v>33</v>
      </c>
      <c r="H223" s="72"/>
      <c r="I223" s="48"/>
      <c r="J223" s="129"/>
      <c r="K223" s="129"/>
      <c r="L223" s="129"/>
      <c r="M223" s="129"/>
      <c r="N223" s="129"/>
      <c r="O223" s="129"/>
      <c r="P223" s="129"/>
      <c r="Q223" s="184"/>
      <c r="R223" s="185"/>
      <c r="S223" s="129"/>
      <c r="T223" s="129"/>
      <c r="U223" s="129"/>
      <c r="V223" s="129"/>
      <c r="W223" s="129"/>
      <c r="X223" s="187"/>
    </row>
    <row r="224" spans="1:24" ht="15.75" thickBot="1">
      <c r="A224" s="192"/>
      <c r="B224" s="192"/>
      <c r="C224" s="192"/>
      <c r="D224" s="192"/>
      <c r="E224" s="193" t="s">
        <v>78</v>
      </c>
      <c r="F224" s="193"/>
      <c r="G224" s="193"/>
      <c r="H224" s="67" t="b">
        <v>0</v>
      </c>
      <c r="I224" s="34"/>
      <c r="J224" s="194" t="s">
        <v>58</v>
      </c>
      <c r="K224" s="194"/>
      <c r="L224" s="194"/>
      <c r="M224" s="194"/>
      <c r="N224" s="194"/>
      <c r="O224" s="194"/>
      <c r="P224" s="194"/>
      <c r="Q224" s="76" t="b">
        <v>0</v>
      </c>
      <c r="R224" s="51"/>
      <c r="S224" s="32" t="s">
        <v>58</v>
      </c>
      <c r="T224" s="32"/>
      <c r="U224" s="32"/>
      <c r="V224" s="32"/>
      <c r="W224" s="32"/>
      <c r="X224" s="55"/>
    </row>
    <row r="225" spans="1:24" ht="15.75" customHeight="1" thickTop="1">
      <c r="A225" s="195" t="s">
        <v>96</v>
      </c>
      <c r="B225" s="195"/>
      <c r="C225" s="195"/>
      <c r="D225" s="195"/>
      <c r="E225" s="197" t="s">
        <v>100</v>
      </c>
      <c r="F225" s="197"/>
      <c r="G225" s="197"/>
      <c r="H225" s="71"/>
      <c r="I225" s="151" t="s">
        <v>84</v>
      </c>
      <c r="J225" s="152"/>
      <c r="K225" s="152"/>
      <c r="L225" s="152"/>
      <c r="M225" s="152"/>
      <c r="N225" s="152"/>
      <c r="O225" s="152"/>
      <c r="P225" s="153"/>
      <c r="Q225" s="45"/>
      <c r="R225" s="152" t="s">
        <v>77</v>
      </c>
      <c r="S225" s="152"/>
      <c r="T225" s="152"/>
      <c r="U225" s="152"/>
      <c r="V225" s="152"/>
      <c r="W225" s="152"/>
      <c r="X225" s="153"/>
    </row>
    <row r="226" spans="1:24">
      <c r="A226" s="195"/>
      <c r="B226" s="195"/>
      <c r="C226" s="195"/>
      <c r="D226" s="195"/>
      <c r="E226" s="198"/>
      <c r="F226" s="199"/>
      <c r="G226" s="200"/>
      <c r="H226" s="97"/>
      <c r="I226" s="173"/>
      <c r="J226" s="174"/>
      <c r="K226" s="174"/>
      <c r="L226" s="174"/>
      <c r="M226" s="174"/>
      <c r="N226" s="174"/>
      <c r="O226" s="174"/>
      <c r="P226" s="175"/>
      <c r="Q226" s="98"/>
      <c r="R226" s="169"/>
      <c r="S226" s="169"/>
      <c r="T226" s="169"/>
      <c r="U226" s="169"/>
      <c r="V226" s="169"/>
      <c r="W226" s="169"/>
      <c r="X226" s="170"/>
    </row>
    <row r="227" spans="1:24" ht="31.5" customHeight="1">
      <c r="A227" s="196"/>
      <c r="B227" s="196"/>
      <c r="C227" s="196"/>
      <c r="D227" s="196"/>
      <c r="E227" s="201"/>
      <c r="F227" s="201"/>
      <c r="G227" s="202"/>
      <c r="H227" s="99"/>
      <c r="I227" s="176"/>
      <c r="J227" s="177"/>
      <c r="K227" s="177"/>
      <c r="L227" s="177"/>
      <c r="M227" s="177"/>
      <c r="N227" s="177"/>
      <c r="O227" s="177"/>
      <c r="P227" s="178"/>
      <c r="Q227" s="100"/>
      <c r="R227" s="171"/>
      <c r="S227" s="171"/>
      <c r="T227" s="171"/>
      <c r="U227" s="171"/>
      <c r="V227" s="171"/>
      <c r="W227" s="171"/>
      <c r="X227" s="172"/>
    </row>
    <row r="228" spans="1:24" ht="15.75" thickBot="1"/>
    <row r="229" spans="1:24" s="3" customFormat="1" ht="15.75" thickTop="1">
      <c r="A229" s="39"/>
      <c r="B229" s="39"/>
      <c r="C229" s="39"/>
      <c r="D229" s="39"/>
      <c r="E229" s="166" t="s">
        <v>6</v>
      </c>
      <c r="F229" s="166"/>
      <c r="G229" s="167"/>
      <c r="H229" s="70"/>
      <c r="I229" s="47"/>
      <c r="J229" s="46" t="s">
        <v>82</v>
      </c>
      <c r="K229" s="46"/>
      <c r="L229" s="46"/>
      <c r="M229" s="46"/>
      <c r="N229" s="46"/>
      <c r="O229" s="46"/>
      <c r="P229" s="46"/>
      <c r="Q229" s="46"/>
      <c r="R229" s="46"/>
      <c r="S229" s="46"/>
      <c r="T229" s="46"/>
      <c r="U229" s="46"/>
      <c r="V229" s="46"/>
      <c r="W229" s="46"/>
      <c r="X229" s="47"/>
    </row>
    <row r="230" spans="1:24" ht="15.75" customHeight="1">
      <c r="A230" s="6" t="s">
        <v>108</v>
      </c>
      <c r="B230" s="168" t="s">
        <v>22</v>
      </c>
      <c r="C230" s="168"/>
      <c r="D230" s="168"/>
      <c r="E230" s="35" t="s">
        <v>67</v>
      </c>
      <c r="F230" s="35"/>
      <c r="G230" s="3"/>
      <c r="H230" s="64"/>
      <c r="I230" s="49">
        <f>N230/P230</f>
        <v>0</v>
      </c>
      <c r="J230" s="205" t="s">
        <v>95</v>
      </c>
      <c r="K230" s="205"/>
      <c r="L230" s="205"/>
      <c r="M230" s="205"/>
      <c r="N230" s="33">
        <f>COUNTIF($H231:$H245,TRUE)</f>
        <v>0</v>
      </c>
      <c r="O230" s="30" t="s">
        <v>92</v>
      </c>
      <c r="P230" s="57">
        <v>8</v>
      </c>
      <c r="Q230" s="94" t="s">
        <v>93</v>
      </c>
      <c r="R230" s="49">
        <f>V230/X230</f>
        <v>0</v>
      </c>
      <c r="S230" s="205" t="s">
        <v>83</v>
      </c>
      <c r="T230" s="205"/>
      <c r="U230" s="205"/>
      <c r="V230" s="33">
        <f>COUNTIF($Q231:$Q245,TRUE)</f>
        <v>0</v>
      </c>
      <c r="W230" s="30" t="s">
        <v>92</v>
      </c>
      <c r="X230" s="61">
        <v>8</v>
      </c>
    </row>
    <row r="231" spans="1:24" ht="15.75" customHeight="1">
      <c r="A231" s="6" t="s">
        <v>85</v>
      </c>
      <c r="B231" s="163"/>
      <c r="C231" s="163"/>
      <c r="D231" s="163"/>
      <c r="E231" s="36" t="s">
        <v>68</v>
      </c>
      <c r="F231" s="37" t="str">
        <f>IF($G231=$E$1,"","n")</f>
        <v/>
      </c>
      <c r="G231" s="95" t="s">
        <v>33</v>
      </c>
      <c r="H231" s="65" t="b">
        <v>0</v>
      </c>
      <c r="I231" s="42"/>
      <c r="J231" s="129" t="s">
        <v>101</v>
      </c>
      <c r="K231" s="129"/>
      <c r="L231" s="129"/>
      <c r="M231" s="129"/>
      <c r="N231" s="129"/>
      <c r="O231" s="129"/>
      <c r="P231" s="129"/>
      <c r="Q231" s="75" t="b">
        <v>0</v>
      </c>
      <c r="R231" s="96"/>
      <c r="S231" s="136" t="s">
        <v>101</v>
      </c>
      <c r="T231" s="136"/>
      <c r="U231" s="136"/>
      <c r="V231" s="136"/>
      <c r="W231" s="136"/>
      <c r="X231" s="188"/>
    </row>
    <row r="232" spans="1:24" ht="15" customHeight="1">
      <c r="A232" s="26" t="s">
        <v>86</v>
      </c>
      <c r="B232" s="164"/>
      <c r="C232" s="164"/>
      <c r="D232" s="164"/>
      <c r="E232" s="162" t="s">
        <v>87</v>
      </c>
      <c r="F232" s="162"/>
      <c r="G232" s="162"/>
      <c r="H232" s="72" t="b">
        <v>0</v>
      </c>
      <c r="I232" s="48"/>
      <c r="J232" s="189" t="s">
        <v>50</v>
      </c>
      <c r="K232" s="190"/>
      <c r="L232" s="190"/>
      <c r="M232" s="190"/>
      <c r="N232" s="190"/>
      <c r="O232" s="190"/>
      <c r="P232" s="190"/>
      <c r="Q232" s="184" t="b">
        <v>0</v>
      </c>
      <c r="R232" s="185"/>
      <c r="S232" s="190" t="s">
        <v>50</v>
      </c>
      <c r="T232" s="190"/>
      <c r="U232" s="190"/>
      <c r="V232" s="190"/>
      <c r="W232" s="190"/>
      <c r="X232" s="204"/>
    </row>
    <row r="233" spans="1:24" ht="15" customHeight="1">
      <c r="A233" s="26" t="s">
        <v>121</v>
      </c>
      <c r="B233" s="150"/>
      <c r="C233" s="150"/>
      <c r="D233" s="150"/>
      <c r="E233" s="162"/>
      <c r="F233" s="162"/>
      <c r="G233" s="162"/>
      <c r="H233" s="72"/>
      <c r="I233" s="48"/>
      <c r="J233" s="189"/>
      <c r="K233" s="190"/>
      <c r="L233" s="190"/>
      <c r="M233" s="190"/>
      <c r="N233" s="190"/>
      <c r="O233" s="190"/>
      <c r="P233" s="190"/>
      <c r="Q233" s="184"/>
      <c r="R233" s="185"/>
      <c r="S233" s="190"/>
      <c r="T233" s="190"/>
      <c r="U233" s="190"/>
      <c r="V233" s="190"/>
      <c r="W233" s="190"/>
      <c r="X233" s="204"/>
    </row>
    <row r="234" spans="1:24" ht="17.25" customHeight="1">
      <c r="A234" s="27" t="s">
        <v>109</v>
      </c>
      <c r="B234" s="160" t="s">
        <v>75</v>
      </c>
      <c r="C234" s="160"/>
      <c r="D234" s="160"/>
      <c r="E234" s="36" t="s">
        <v>69</v>
      </c>
      <c r="F234" s="37" t="str">
        <f>IF($G234=$E$1,"","n")</f>
        <v/>
      </c>
      <c r="G234" s="95" t="s">
        <v>33</v>
      </c>
      <c r="H234" s="72"/>
      <c r="I234" s="48"/>
      <c r="J234" s="189"/>
      <c r="K234" s="190"/>
      <c r="L234" s="190"/>
      <c r="M234" s="190"/>
      <c r="N234" s="190"/>
      <c r="O234" s="190"/>
      <c r="P234" s="190"/>
      <c r="Q234" s="184"/>
      <c r="R234" s="185"/>
      <c r="S234" s="190"/>
      <c r="T234" s="190"/>
      <c r="U234" s="190"/>
      <c r="V234" s="190"/>
      <c r="W234" s="190"/>
      <c r="X234" s="204"/>
    </row>
    <row r="235" spans="1:24" ht="15.75" customHeight="1">
      <c r="A235" s="28" t="s">
        <v>90</v>
      </c>
      <c r="B235" s="161" t="s">
        <v>22</v>
      </c>
      <c r="C235" s="161"/>
      <c r="D235" s="161"/>
      <c r="E235" s="162" t="s">
        <v>88</v>
      </c>
      <c r="F235" s="162"/>
      <c r="G235" s="162"/>
      <c r="H235" s="72" t="b">
        <v>0</v>
      </c>
      <c r="I235" s="48"/>
      <c r="J235" s="129" t="s">
        <v>102</v>
      </c>
      <c r="K235" s="129"/>
      <c r="L235" s="129"/>
      <c r="M235" s="129"/>
      <c r="N235" s="129"/>
      <c r="O235" s="129"/>
      <c r="P235" s="129"/>
      <c r="Q235" s="184" t="b">
        <v>0</v>
      </c>
      <c r="R235" s="185"/>
      <c r="S235" s="129" t="s">
        <v>102</v>
      </c>
      <c r="T235" s="129"/>
      <c r="U235" s="129"/>
      <c r="V235" s="129"/>
      <c r="W235" s="129"/>
      <c r="X235" s="187"/>
    </row>
    <row r="236" spans="1:24" ht="15" customHeight="1">
      <c r="A236" s="27" t="s">
        <v>110</v>
      </c>
      <c r="B236" s="160" t="s">
        <v>76</v>
      </c>
      <c r="C236" s="160"/>
      <c r="D236" s="160"/>
      <c r="E236" s="162"/>
      <c r="F236" s="162"/>
      <c r="G236" s="162"/>
      <c r="H236" s="72"/>
      <c r="I236" s="48"/>
      <c r="J236" s="129"/>
      <c r="K236" s="129"/>
      <c r="L236" s="129"/>
      <c r="M236" s="129"/>
      <c r="N236" s="129"/>
      <c r="O236" s="129"/>
      <c r="P236" s="129"/>
      <c r="Q236" s="184"/>
      <c r="R236" s="185"/>
      <c r="S236" s="129"/>
      <c r="T236" s="129"/>
      <c r="U236" s="129"/>
      <c r="V236" s="129"/>
      <c r="W236" s="129"/>
      <c r="X236" s="187"/>
    </row>
    <row r="237" spans="1:24" ht="15" customHeight="1">
      <c r="A237" s="6" t="s">
        <v>90</v>
      </c>
      <c r="B237" s="161" t="s">
        <v>22</v>
      </c>
      <c r="C237" s="161"/>
      <c r="D237" s="161"/>
      <c r="E237" s="36" t="s">
        <v>70</v>
      </c>
      <c r="F237" s="37" t="str">
        <f>IF($G237=$E$1,"","n")</f>
        <v/>
      </c>
      <c r="G237" s="95" t="s">
        <v>33</v>
      </c>
      <c r="H237" s="72" t="b">
        <v>0</v>
      </c>
      <c r="I237" s="48"/>
      <c r="J237" s="183" t="s">
        <v>103</v>
      </c>
      <c r="K237" s="183"/>
      <c r="L237" s="183"/>
      <c r="M237" s="183"/>
      <c r="N237" s="183"/>
      <c r="O237" s="183"/>
      <c r="P237" s="183"/>
      <c r="Q237" s="184" t="b">
        <v>0</v>
      </c>
      <c r="R237" s="185"/>
      <c r="S237" s="129" t="s">
        <v>103</v>
      </c>
      <c r="T237" s="129"/>
      <c r="U237" s="129"/>
      <c r="V237" s="129"/>
      <c r="W237" s="129"/>
      <c r="X237" s="187"/>
    </row>
    <row r="238" spans="1:24" ht="15" customHeight="1">
      <c r="A238" s="6" t="s">
        <v>91</v>
      </c>
      <c r="B238" s="203" t="s">
        <v>22</v>
      </c>
      <c r="C238" s="203"/>
      <c r="D238" s="203"/>
      <c r="E238" s="162" t="s">
        <v>89</v>
      </c>
      <c r="F238" s="162"/>
      <c r="G238" s="162"/>
      <c r="H238" s="72"/>
      <c r="I238" s="48"/>
      <c r="J238" s="183"/>
      <c r="K238" s="183"/>
      <c r="L238" s="183"/>
      <c r="M238" s="183"/>
      <c r="N238" s="183"/>
      <c r="O238" s="183"/>
      <c r="P238" s="183"/>
      <c r="Q238" s="184"/>
      <c r="R238" s="185"/>
      <c r="S238" s="129"/>
      <c r="T238" s="129"/>
      <c r="U238" s="129"/>
      <c r="V238" s="129"/>
      <c r="W238" s="129"/>
      <c r="X238" s="187"/>
    </row>
    <row r="239" spans="1:24" ht="15" customHeight="1">
      <c r="A239" s="3"/>
      <c r="B239" s="104">
        <f>EVI_Score1</f>
        <v>2016</v>
      </c>
      <c r="C239" s="104">
        <f>EVI_Score2</f>
        <v>2015</v>
      </c>
      <c r="D239" s="105">
        <f>EVI_Score3</f>
        <v>2014</v>
      </c>
      <c r="E239" s="162"/>
      <c r="F239" s="162"/>
      <c r="G239" s="162"/>
      <c r="H239" s="72" t="b">
        <v>0</v>
      </c>
      <c r="I239" s="48"/>
      <c r="J239" s="183" t="s">
        <v>104</v>
      </c>
      <c r="K239" s="183"/>
      <c r="L239" s="183"/>
      <c r="M239" s="183"/>
      <c r="N239" s="183"/>
      <c r="O239" s="183"/>
      <c r="P239" s="183"/>
      <c r="Q239" s="184" t="b">
        <v>0</v>
      </c>
      <c r="R239" s="185"/>
      <c r="S239" s="183" t="s">
        <v>104</v>
      </c>
      <c r="T239" s="183"/>
      <c r="U239" s="183"/>
      <c r="V239" s="183"/>
      <c r="W239" s="183"/>
      <c r="X239" s="186"/>
    </row>
    <row r="240" spans="1:24" ht="15.75">
      <c r="A240" s="7" t="s">
        <v>3</v>
      </c>
      <c r="B240" s="89"/>
      <c r="C240" s="89"/>
      <c r="D240" s="103" t="s">
        <v>30</v>
      </c>
      <c r="E240" s="38" t="s">
        <v>71</v>
      </c>
      <c r="F240" s="86"/>
      <c r="G240" s="86"/>
      <c r="H240" s="72"/>
      <c r="I240" s="48"/>
      <c r="J240" s="183"/>
      <c r="K240" s="183"/>
      <c r="L240" s="183"/>
      <c r="M240" s="183"/>
      <c r="N240" s="183"/>
      <c r="O240" s="183"/>
      <c r="P240" s="183"/>
      <c r="Q240" s="184"/>
      <c r="R240" s="185"/>
      <c r="S240" s="183"/>
      <c r="T240" s="183"/>
      <c r="U240" s="183"/>
      <c r="V240" s="183"/>
      <c r="W240" s="183"/>
      <c r="X240" s="186"/>
    </row>
    <row r="241" spans="1:24" ht="15.75" customHeight="1">
      <c r="B241" s="104">
        <f>PMP_Y1</f>
        <v>2015</v>
      </c>
      <c r="C241" s="104">
        <f>PMP_Y2</f>
        <v>2014</v>
      </c>
      <c r="D241" s="105">
        <f>PMP_Y3</f>
        <v>2013</v>
      </c>
      <c r="E241" s="36" t="s">
        <v>72</v>
      </c>
      <c r="F241" s="37" t="str">
        <f>IF($G241=$E$1,"","n")</f>
        <v/>
      </c>
      <c r="G241" s="95" t="s">
        <v>33</v>
      </c>
      <c r="H241" s="72" t="b">
        <v>0</v>
      </c>
      <c r="I241" s="48"/>
      <c r="J241" s="129" t="s">
        <v>56</v>
      </c>
      <c r="K241" s="129"/>
      <c r="L241" s="129"/>
      <c r="M241" s="129"/>
      <c r="N241" s="129"/>
      <c r="O241" s="129"/>
      <c r="P241" s="129"/>
      <c r="Q241" s="184" t="b">
        <v>0</v>
      </c>
      <c r="R241" s="185"/>
      <c r="S241" s="129" t="s">
        <v>56</v>
      </c>
      <c r="T241" s="129"/>
      <c r="U241" s="129"/>
      <c r="V241" s="129"/>
      <c r="W241" s="129"/>
      <c r="X241" s="187"/>
    </row>
    <row r="242" spans="1:24" ht="15.75" customHeight="1">
      <c r="A242" s="7" t="s">
        <v>4</v>
      </c>
      <c r="B242" s="29" t="s">
        <v>22</v>
      </c>
      <c r="C242" s="29" t="s">
        <v>22</v>
      </c>
      <c r="D242" s="102" t="s">
        <v>22</v>
      </c>
      <c r="E242" s="149" t="s">
        <v>122</v>
      </c>
      <c r="F242" s="149"/>
      <c r="G242" s="149"/>
      <c r="H242" s="72"/>
      <c r="I242" s="48"/>
      <c r="J242" s="129"/>
      <c r="K242" s="129"/>
      <c r="L242" s="129"/>
      <c r="M242" s="129"/>
      <c r="N242" s="129"/>
      <c r="O242" s="129"/>
      <c r="P242" s="129"/>
      <c r="Q242" s="184"/>
      <c r="R242" s="185"/>
      <c r="S242" s="129"/>
      <c r="T242" s="129"/>
      <c r="U242" s="129"/>
      <c r="V242" s="129"/>
      <c r="W242" s="129"/>
      <c r="X242" s="187"/>
    </row>
    <row r="243" spans="1:24" ht="15" customHeight="1">
      <c r="A243" s="131" t="s">
        <v>74</v>
      </c>
      <c r="B243" s="131"/>
      <c r="C243" s="131"/>
      <c r="D243" s="131"/>
      <c r="E243" s="149"/>
      <c r="F243" s="149"/>
      <c r="G243" s="149"/>
      <c r="H243" s="72" t="b">
        <v>0</v>
      </c>
      <c r="I243" s="48"/>
      <c r="J243" s="129" t="s">
        <v>57</v>
      </c>
      <c r="K243" s="129"/>
      <c r="L243" s="129"/>
      <c r="M243" s="129"/>
      <c r="N243" s="129"/>
      <c r="O243" s="129"/>
      <c r="P243" s="129"/>
      <c r="Q243" s="184" t="b">
        <v>0</v>
      </c>
      <c r="R243" s="185"/>
      <c r="S243" s="129" t="s">
        <v>57</v>
      </c>
      <c r="T243" s="129"/>
      <c r="U243" s="129"/>
      <c r="V243" s="129"/>
      <c r="W243" s="129"/>
      <c r="X243" s="187"/>
    </row>
    <row r="244" spans="1:24" ht="15.75">
      <c r="A244" s="192"/>
      <c r="B244" s="192"/>
      <c r="C244" s="192"/>
      <c r="D244" s="192"/>
      <c r="E244" s="36" t="s">
        <v>73</v>
      </c>
      <c r="F244" s="37" t="str">
        <f>IF($G244=$E$1,"","n")</f>
        <v/>
      </c>
      <c r="G244" s="95" t="s">
        <v>33</v>
      </c>
      <c r="H244" s="72"/>
      <c r="I244" s="48"/>
      <c r="J244" s="129"/>
      <c r="K244" s="129"/>
      <c r="L244" s="129"/>
      <c r="M244" s="129"/>
      <c r="N244" s="129"/>
      <c r="O244" s="129"/>
      <c r="P244" s="129"/>
      <c r="Q244" s="184"/>
      <c r="R244" s="185"/>
      <c r="S244" s="129"/>
      <c r="T244" s="129"/>
      <c r="U244" s="129"/>
      <c r="V244" s="129"/>
      <c r="W244" s="129"/>
      <c r="X244" s="187"/>
    </row>
    <row r="245" spans="1:24" ht="15.75" thickBot="1">
      <c r="A245" s="192"/>
      <c r="B245" s="192"/>
      <c r="C245" s="192"/>
      <c r="D245" s="192"/>
      <c r="E245" s="193" t="s">
        <v>78</v>
      </c>
      <c r="F245" s="193"/>
      <c r="G245" s="193"/>
      <c r="H245" s="67" t="b">
        <v>0</v>
      </c>
      <c r="I245" s="34"/>
      <c r="J245" s="194" t="s">
        <v>58</v>
      </c>
      <c r="K245" s="194"/>
      <c r="L245" s="194"/>
      <c r="M245" s="194"/>
      <c r="N245" s="194"/>
      <c r="O245" s="194"/>
      <c r="P245" s="194"/>
      <c r="Q245" s="76" t="b">
        <v>0</v>
      </c>
      <c r="R245" s="51"/>
      <c r="S245" s="32" t="s">
        <v>58</v>
      </c>
      <c r="T245" s="32"/>
      <c r="U245" s="32"/>
      <c r="V245" s="32"/>
      <c r="W245" s="32"/>
      <c r="X245" s="55"/>
    </row>
    <row r="246" spans="1:24" ht="15.75" customHeight="1" thickTop="1">
      <c r="A246" s="195" t="s">
        <v>96</v>
      </c>
      <c r="B246" s="195"/>
      <c r="C246" s="195"/>
      <c r="D246" s="195"/>
      <c r="E246" s="197" t="s">
        <v>100</v>
      </c>
      <c r="F246" s="197"/>
      <c r="G246" s="197"/>
      <c r="H246" s="71"/>
      <c r="I246" s="151" t="s">
        <v>84</v>
      </c>
      <c r="J246" s="152"/>
      <c r="K246" s="152"/>
      <c r="L246" s="152"/>
      <c r="M246" s="152"/>
      <c r="N246" s="152"/>
      <c r="O246" s="152"/>
      <c r="P246" s="153"/>
      <c r="Q246" s="45"/>
      <c r="R246" s="152" t="s">
        <v>77</v>
      </c>
      <c r="S246" s="152"/>
      <c r="T246" s="152"/>
      <c r="U246" s="152"/>
      <c r="V246" s="152"/>
      <c r="W246" s="152"/>
      <c r="X246" s="153"/>
    </row>
    <row r="247" spans="1:24">
      <c r="A247" s="195"/>
      <c r="B247" s="195"/>
      <c r="C247" s="195"/>
      <c r="D247" s="195"/>
      <c r="E247" s="198"/>
      <c r="F247" s="199"/>
      <c r="G247" s="200"/>
      <c r="H247" s="97"/>
      <c r="I247" s="173"/>
      <c r="J247" s="174"/>
      <c r="K247" s="174"/>
      <c r="L247" s="174"/>
      <c r="M247" s="174"/>
      <c r="N247" s="174"/>
      <c r="O247" s="174"/>
      <c r="P247" s="175"/>
      <c r="Q247" s="98"/>
      <c r="R247" s="169"/>
      <c r="S247" s="169"/>
      <c r="T247" s="169"/>
      <c r="U247" s="169"/>
      <c r="V247" s="169"/>
      <c r="W247" s="169"/>
      <c r="X247" s="170"/>
    </row>
    <row r="248" spans="1:24" ht="31.5" customHeight="1">
      <c r="A248" s="196"/>
      <c r="B248" s="196"/>
      <c r="C248" s="196"/>
      <c r="D248" s="196"/>
      <c r="E248" s="201"/>
      <c r="F248" s="201"/>
      <c r="G248" s="202"/>
      <c r="H248" s="99"/>
      <c r="I248" s="176"/>
      <c r="J248" s="177"/>
      <c r="K248" s="177"/>
      <c r="L248" s="177"/>
      <c r="M248" s="177"/>
      <c r="N248" s="177"/>
      <c r="O248" s="177"/>
      <c r="P248" s="178"/>
      <c r="Q248" s="100"/>
      <c r="R248" s="171"/>
      <c r="S248" s="171"/>
      <c r="T248" s="171"/>
      <c r="U248" s="171"/>
      <c r="V248" s="171"/>
      <c r="W248" s="171"/>
      <c r="X248" s="172"/>
    </row>
  </sheetData>
  <sheetProtection password="ECB9" sheet="1" objects="1" scenarios="1" formatCells="0" formatColumns="0" formatRows="0" insertRows="0"/>
  <sortState ref="C2:C15">
    <sortCondition ref="C2"/>
  </sortState>
  <mergeCells count="587">
    <mergeCell ref="A246:D248"/>
    <mergeCell ref="E246:G246"/>
    <mergeCell ref="I246:P246"/>
    <mergeCell ref="R246:X246"/>
    <mergeCell ref="E247:G248"/>
    <mergeCell ref="I247:P248"/>
    <mergeCell ref="R247:X248"/>
    <mergeCell ref="J241:P242"/>
    <mergeCell ref="Q241:Q242"/>
    <mergeCell ref="R241:R242"/>
    <mergeCell ref="S241:X242"/>
    <mergeCell ref="E242:G243"/>
    <mergeCell ref="A243:D243"/>
    <mergeCell ref="J243:P244"/>
    <mergeCell ref="Q243:Q244"/>
    <mergeCell ref="R243:R244"/>
    <mergeCell ref="S243:X244"/>
    <mergeCell ref="A244:D245"/>
    <mergeCell ref="E245:G245"/>
    <mergeCell ref="J245:P245"/>
    <mergeCell ref="B235:D235"/>
    <mergeCell ref="E235:G236"/>
    <mergeCell ref="J235:P236"/>
    <mergeCell ref="Q235:Q236"/>
    <mergeCell ref="R235:R236"/>
    <mergeCell ref="S235:X236"/>
    <mergeCell ref="B236:D236"/>
    <mergeCell ref="B237:D237"/>
    <mergeCell ref="J237:P238"/>
    <mergeCell ref="Q237:Q238"/>
    <mergeCell ref="R237:R238"/>
    <mergeCell ref="S237:X238"/>
    <mergeCell ref="B238:D238"/>
    <mergeCell ref="E238:G239"/>
    <mergeCell ref="J239:P240"/>
    <mergeCell ref="Q239:Q240"/>
    <mergeCell ref="R239:R240"/>
    <mergeCell ref="S239:X240"/>
    <mergeCell ref="B231:D231"/>
    <mergeCell ref="J231:P231"/>
    <mergeCell ref="S231:X231"/>
    <mergeCell ref="B232:D232"/>
    <mergeCell ref="E232:G233"/>
    <mergeCell ref="J232:P234"/>
    <mergeCell ref="Q232:Q234"/>
    <mergeCell ref="R232:R234"/>
    <mergeCell ref="S232:X234"/>
    <mergeCell ref="B233:D233"/>
    <mergeCell ref="B234:D234"/>
    <mergeCell ref="A225:D227"/>
    <mergeCell ref="E225:G225"/>
    <mergeCell ref="I225:P225"/>
    <mergeCell ref="R225:X225"/>
    <mergeCell ref="E226:G227"/>
    <mergeCell ref="I226:P227"/>
    <mergeCell ref="R226:X227"/>
    <mergeCell ref="E229:G229"/>
    <mergeCell ref="B230:D230"/>
    <mergeCell ref="J230:M230"/>
    <mergeCell ref="S230:U230"/>
    <mergeCell ref="J220:P221"/>
    <mergeCell ref="Q220:Q221"/>
    <mergeCell ref="R220:R221"/>
    <mergeCell ref="S220:X221"/>
    <mergeCell ref="E221:G222"/>
    <mergeCell ref="A222:D222"/>
    <mergeCell ref="J222:P223"/>
    <mergeCell ref="Q222:Q223"/>
    <mergeCell ref="R222:R223"/>
    <mergeCell ref="S222:X223"/>
    <mergeCell ref="A223:D224"/>
    <mergeCell ref="E224:G224"/>
    <mergeCell ref="J224:P224"/>
    <mergeCell ref="B214:D214"/>
    <mergeCell ref="E214:G215"/>
    <mergeCell ref="J214:P215"/>
    <mergeCell ref="Q214:Q215"/>
    <mergeCell ref="R214:R215"/>
    <mergeCell ref="S214:X215"/>
    <mergeCell ref="B215:D215"/>
    <mergeCell ref="B216:D216"/>
    <mergeCell ref="J216:P217"/>
    <mergeCell ref="Q216:Q217"/>
    <mergeCell ref="R216:R217"/>
    <mergeCell ref="S216:X217"/>
    <mergeCell ref="B217:D217"/>
    <mergeCell ref="E217:G218"/>
    <mergeCell ref="J218:P219"/>
    <mergeCell ref="Q218:Q219"/>
    <mergeCell ref="R218:R219"/>
    <mergeCell ref="S218:X219"/>
    <mergeCell ref="B210:D210"/>
    <mergeCell ref="J210:P210"/>
    <mergeCell ref="S210:X210"/>
    <mergeCell ref="B211:D211"/>
    <mergeCell ref="E211:G212"/>
    <mergeCell ref="J211:P213"/>
    <mergeCell ref="Q211:Q213"/>
    <mergeCell ref="R211:R213"/>
    <mergeCell ref="S211:X213"/>
    <mergeCell ref="B212:D212"/>
    <mergeCell ref="B213:D213"/>
    <mergeCell ref="A204:D206"/>
    <mergeCell ref="E204:G204"/>
    <mergeCell ref="I204:P204"/>
    <mergeCell ref="R204:X204"/>
    <mergeCell ref="E205:G206"/>
    <mergeCell ref="I205:P206"/>
    <mergeCell ref="R205:X206"/>
    <mergeCell ref="E208:G208"/>
    <mergeCell ref="B209:D209"/>
    <mergeCell ref="J209:M209"/>
    <mergeCell ref="S209:U209"/>
    <mergeCell ref="J199:P200"/>
    <mergeCell ref="Q199:Q200"/>
    <mergeCell ref="R199:R200"/>
    <mergeCell ref="S199:X200"/>
    <mergeCell ref="E200:G201"/>
    <mergeCell ref="A201:D201"/>
    <mergeCell ref="J201:P202"/>
    <mergeCell ref="Q201:Q202"/>
    <mergeCell ref="R201:R202"/>
    <mergeCell ref="S201:X202"/>
    <mergeCell ref="A202:D203"/>
    <mergeCell ref="E203:G203"/>
    <mergeCell ref="J203:P203"/>
    <mergeCell ref="B193:D193"/>
    <mergeCell ref="E193:G194"/>
    <mergeCell ref="J193:P194"/>
    <mergeCell ref="Q193:Q194"/>
    <mergeCell ref="R193:R194"/>
    <mergeCell ref="S193:X194"/>
    <mergeCell ref="B194:D194"/>
    <mergeCell ref="B195:D195"/>
    <mergeCell ref="J195:P196"/>
    <mergeCell ref="Q195:Q196"/>
    <mergeCell ref="R195:R196"/>
    <mergeCell ref="S195:X196"/>
    <mergeCell ref="B196:D196"/>
    <mergeCell ref="E196:G197"/>
    <mergeCell ref="J197:P198"/>
    <mergeCell ref="Q197:Q198"/>
    <mergeCell ref="R197:R198"/>
    <mergeCell ref="S197:X198"/>
    <mergeCell ref="B189:D189"/>
    <mergeCell ref="J189:P189"/>
    <mergeCell ref="S189:X189"/>
    <mergeCell ref="B190:D190"/>
    <mergeCell ref="E190:G191"/>
    <mergeCell ref="J190:P192"/>
    <mergeCell ref="Q190:Q192"/>
    <mergeCell ref="R190:R192"/>
    <mergeCell ref="S190:X192"/>
    <mergeCell ref="B191:D191"/>
    <mergeCell ref="B192:D192"/>
    <mergeCell ref="A183:D185"/>
    <mergeCell ref="E183:G183"/>
    <mergeCell ref="I183:P183"/>
    <mergeCell ref="R183:X183"/>
    <mergeCell ref="E184:G185"/>
    <mergeCell ref="I184:P185"/>
    <mergeCell ref="R184:X185"/>
    <mergeCell ref="E187:G187"/>
    <mergeCell ref="B188:D188"/>
    <mergeCell ref="J188:M188"/>
    <mergeCell ref="S188:U188"/>
    <mergeCell ref="J178:P179"/>
    <mergeCell ref="Q178:Q179"/>
    <mergeCell ref="R178:R179"/>
    <mergeCell ref="S178:X179"/>
    <mergeCell ref="E179:G180"/>
    <mergeCell ref="A180:D180"/>
    <mergeCell ref="J180:P181"/>
    <mergeCell ref="Q180:Q181"/>
    <mergeCell ref="R180:R181"/>
    <mergeCell ref="S180:X181"/>
    <mergeCell ref="A181:D182"/>
    <mergeCell ref="E182:G182"/>
    <mergeCell ref="J182:P182"/>
    <mergeCell ref="B172:D172"/>
    <mergeCell ref="E172:G173"/>
    <mergeCell ref="J172:P173"/>
    <mergeCell ref="Q172:Q173"/>
    <mergeCell ref="R172:R173"/>
    <mergeCell ref="S172:X173"/>
    <mergeCell ref="B173:D173"/>
    <mergeCell ref="B174:D174"/>
    <mergeCell ref="J174:P175"/>
    <mergeCell ref="Q174:Q175"/>
    <mergeCell ref="R174:R175"/>
    <mergeCell ref="S174:X175"/>
    <mergeCell ref="B175:D175"/>
    <mergeCell ref="E175:G176"/>
    <mergeCell ref="J176:P177"/>
    <mergeCell ref="Q176:Q177"/>
    <mergeCell ref="R176:R177"/>
    <mergeCell ref="S176:X177"/>
    <mergeCell ref="B168:D168"/>
    <mergeCell ref="J168:P168"/>
    <mergeCell ref="S168:X168"/>
    <mergeCell ref="B169:D169"/>
    <mergeCell ref="E169:G170"/>
    <mergeCell ref="J169:P171"/>
    <mergeCell ref="Q169:Q171"/>
    <mergeCell ref="R169:R171"/>
    <mergeCell ref="S169:X171"/>
    <mergeCell ref="B170:D170"/>
    <mergeCell ref="B171:D171"/>
    <mergeCell ref="A162:D164"/>
    <mergeCell ref="E162:G162"/>
    <mergeCell ref="I162:P162"/>
    <mergeCell ref="R162:X162"/>
    <mergeCell ref="E163:G164"/>
    <mergeCell ref="I163:P164"/>
    <mergeCell ref="R163:X164"/>
    <mergeCell ref="E166:G166"/>
    <mergeCell ref="B167:D167"/>
    <mergeCell ref="J167:M167"/>
    <mergeCell ref="S167:U167"/>
    <mergeCell ref="J157:P158"/>
    <mergeCell ref="Q157:Q158"/>
    <mergeCell ref="R157:R158"/>
    <mergeCell ref="S157:X158"/>
    <mergeCell ref="E158:G159"/>
    <mergeCell ref="A159:D159"/>
    <mergeCell ref="J159:P160"/>
    <mergeCell ref="Q159:Q160"/>
    <mergeCell ref="R159:R160"/>
    <mergeCell ref="S159:X160"/>
    <mergeCell ref="A160:D161"/>
    <mergeCell ref="E161:G161"/>
    <mergeCell ref="J161:P161"/>
    <mergeCell ref="B151:D151"/>
    <mergeCell ref="E151:G152"/>
    <mergeCell ref="J151:P152"/>
    <mergeCell ref="Q151:Q152"/>
    <mergeCell ref="R151:R152"/>
    <mergeCell ref="S151:X152"/>
    <mergeCell ref="B152:D152"/>
    <mergeCell ref="B153:D153"/>
    <mergeCell ref="J153:P154"/>
    <mergeCell ref="Q153:Q154"/>
    <mergeCell ref="R153:R154"/>
    <mergeCell ref="S153:X154"/>
    <mergeCell ref="B154:D154"/>
    <mergeCell ref="E154:G155"/>
    <mergeCell ref="J155:P156"/>
    <mergeCell ref="Q155:Q156"/>
    <mergeCell ref="R155:R156"/>
    <mergeCell ref="S155:X156"/>
    <mergeCell ref="E145:G145"/>
    <mergeCell ref="B146:D146"/>
    <mergeCell ref="J146:M146"/>
    <mergeCell ref="S146:U146"/>
    <mergeCell ref="B147:D147"/>
    <mergeCell ref="J147:P147"/>
    <mergeCell ref="S147:X147"/>
    <mergeCell ref="B148:D148"/>
    <mergeCell ref="E148:G149"/>
    <mergeCell ref="J148:P150"/>
    <mergeCell ref="Q148:Q150"/>
    <mergeCell ref="R148:R150"/>
    <mergeCell ref="S148:X150"/>
    <mergeCell ref="B149:D149"/>
    <mergeCell ref="B150:D150"/>
    <mergeCell ref="B16:E16"/>
    <mergeCell ref="B19:D19"/>
    <mergeCell ref="E17:G17"/>
    <mergeCell ref="E19:G19"/>
    <mergeCell ref="B20:D20"/>
    <mergeCell ref="J20:M20"/>
    <mergeCell ref="S20:U20"/>
    <mergeCell ref="A57:D59"/>
    <mergeCell ref="B24:D24"/>
    <mergeCell ref="B25:D25"/>
    <mergeCell ref="J25:P26"/>
    <mergeCell ref="Q25:Q26"/>
    <mergeCell ref="R25:R26"/>
    <mergeCell ref="S25:X26"/>
    <mergeCell ref="B21:D21"/>
    <mergeCell ref="J21:P21"/>
    <mergeCell ref="S21:X21"/>
    <mergeCell ref="B22:D22"/>
    <mergeCell ref="J22:P24"/>
    <mergeCell ref="Q22:Q24"/>
    <mergeCell ref="R22:R24"/>
    <mergeCell ref="S22:X24"/>
    <mergeCell ref="S27:X28"/>
    <mergeCell ref="B28:D28"/>
    <mergeCell ref="E22:G23"/>
    <mergeCell ref="E25:G26"/>
    <mergeCell ref="E28:G29"/>
    <mergeCell ref="B23:D23"/>
    <mergeCell ref="A33:D33"/>
    <mergeCell ref="J33:P34"/>
    <mergeCell ref="Q33:Q34"/>
    <mergeCell ref="R33:R34"/>
    <mergeCell ref="S33:X34"/>
    <mergeCell ref="J31:P32"/>
    <mergeCell ref="Q31:Q32"/>
    <mergeCell ref="R31:R32"/>
    <mergeCell ref="S31:X32"/>
    <mergeCell ref="E32:G33"/>
    <mergeCell ref="J29:P30"/>
    <mergeCell ref="Q29:Q30"/>
    <mergeCell ref="R29:R30"/>
    <mergeCell ref="S29:X30"/>
    <mergeCell ref="B26:D26"/>
    <mergeCell ref="B27:D27"/>
    <mergeCell ref="J27:P28"/>
    <mergeCell ref="Q27:Q28"/>
    <mergeCell ref="R27:R28"/>
    <mergeCell ref="E40:G40"/>
    <mergeCell ref="B41:D41"/>
    <mergeCell ref="J41:M41"/>
    <mergeCell ref="S41:U41"/>
    <mergeCell ref="R37:X38"/>
    <mergeCell ref="A34:D35"/>
    <mergeCell ref="E35:G35"/>
    <mergeCell ref="J35:P35"/>
    <mergeCell ref="A36:D38"/>
    <mergeCell ref="E36:G36"/>
    <mergeCell ref="E37:G38"/>
    <mergeCell ref="I36:P36"/>
    <mergeCell ref="I37:P38"/>
    <mergeCell ref="R36:X36"/>
    <mergeCell ref="B45:D45"/>
    <mergeCell ref="B46:D46"/>
    <mergeCell ref="J46:P47"/>
    <mergeCell ref="Q46:Q47"/>
    <mergeCell ref="R46:R47"/>
    <mergeCell ref="S46:X47"/>
    <mergeCell ref="B42:D42"/>
    <mergeCell ref="J42:P42"/>
    <mergeCell ref="S42:X42"/>
    <mergeCell ref="B43:D43"/>
    <mergeCell ref="J43:P45"/>
    <mergeCell ref="Q43:Q45"/>
    <mergeCell ref="R43:R45"/>
    <mergeCell ref="S43:X45"/>
    <mergeCell ref="E43:G44"/>
    <mergeCell ref="B49:D49"/>
    <mergeCell ref="J50:P51"/>
    <mergeCell ref="Q50:Q51"/>
    <mergeCell ref="R50:R51"/>
    <mergeCell ref="S50:X51"/>
    <mergeCell ref="B47:D47"/>
    <mergeCell ref="B48:D48"/>
    <mergeCell ref="J48:P49"/>
    <mergeCell ref="Q48:Q49"/>
    <mergeCell ref="R48:R49"/>
    <mergeCell ref="S48:X49"/>
    <mergeCell ref="E46:G47"/>
    <mergeCell ref="E49:G50"/>
    <mergeCell ref="A54:D54"/>
    <mergeCell ref="J54:P55"/>
    <mergeCell ref="Q54:Q55"/>
    <mergeCell ref="R54:R55"/>
    <mergeCell ref="S54:X55"/>
    <mergeCell ref="J52:P53"/>
    <mergeCell ref="Q52:Q53"/>
    <mergeCell ref="R52:R53"/>
    <mergeCell ref="S52:X53"/>
    <mergeCell ref="E53:G54"/>
    <mergeCell ref="E61:G61"/>
    <mergeCell ref="B62:D62"/>
    <mergeCell ref="J62:M62"/>
    <mergeCell ref="S62:U62"/>
    <mergeCell ref="A55:D56"/>
    <mergeCell ref="E56:G56"/>
    <mergeCell ref="J56:P56"/>
    <mergeCell ref="E57:G57"/>
    <mergeCell ref="B66:D66"/>
    <mergeCell ref="B63:D63"/>
    <mergeCell ref="J63:P63"/>
    <mergeCell ref="S63:X63"/>
    <mergeCell ref="B64:D64"/>
    <mergeCell ref="J64:P66"/>
    <mergeCell ref="Q64:Q66"/>
    <mergeCell ref="R64:R66"/>
    <mergeCell ref="S64:X66"/>
    <mergeCell ref="E64:G65"/>
    <mergeCell ref="E58:G59"/>
    <mergeCell ref="I58:P59"/>
    <mergeCell ref="R58:X59"/>
    <mergeCell ref="B70:D70"/>
    <mergeCell ref="J71:P72"/>
    <mergeCell ref="Q71:Q72"/>
    <mergeCell ref="R71:R72"/>
    <mergeCell ref="S71:X72"/>
    <mergeCell ref="B68:D68"/>
    <mergeCell ref="B69:D69"/>
    <mergeCell ref="J69:P70"/>
    <mergeCell ref="Q69:Q70"/>
    <mergeCell ref="R69:R70"/>
    <mergeCell ref="S69:X70"/>
    <mergeCell ref="E67:G68"/>
    <mergeCell ref="E70:G71"/>
    <mergeCell ref="B67:D67"/>
    <mergeCell ref="J67:P68"/>
    <mergeCell ref="Q67:Q68"/>
    <mergeCell ref="R67:R68"/>
    <mergeCell ref="S67:X68"/>
    <mergeCell ref="A75:D75"/>
    <mergeCell ref="J75:P76"/>
    <mergeCell ref="Q75:Q76"/>
    <mergeCell ref="R75:R76"/>
    <mergeCell ref="S75:X76"/>
    <mergeCell ref="J73:P74"/>
    <mergeCell ref="Q73:Q74"/>
    <mergeCell ref="R73:R74"/>
    <mergeCell ref="S73:X74"/>
    <mergeCell ref="E74:G75"/>
    <mergeCell ref="E82:G82"/>
    <mergeCell ref="B83:D83"/>
    <mergeCell ref="J83:M83"/>
    <mergeCell ref="S83:U83"/>
    <mergeCell ref="A76:D77"/>
    <mergeCell ref="E77:G77"/>
    <mergeCell ref="J77:P77"/>
    <mergeCell ref="A78:D80"/>
    <mergeCell ref="E78:G78"/>
    <mergeCell ref="E79:G80"/>
    <mergeCell ref="B87:D87"/>
    <mergeCell ref="B88:D88"/>
    <mergeCell ref="J88:P89"/>
    <mergeCell ref="Q88:Q89"/>
    <mergeCell ref="R88:R89"/>
    <mergeCell ref="S88:X89"/>
    <mergeCell ref="B84:D84"/>
    <mergeCell ref="J84:P84"/>
    <mergeCell ref="S84:X84"/>
    <mergeCell ref="B85:D85"/>
    <mergeCell ref="J85:P87"/>
    <mergeCell ref="Q85:Q87"/>
    <mergeCell ref="R85:R87"/>
    <mergeCell ref="S85:X87"/>
    <mergeCell ref="E85:G86"/>
    <mergeCell ref="B91:D91"/>
    <mergeCell ref="J92:P93"/>
    <mergeCell ref="Q92:Q93"/>
    <mergeCell ref="R92:R93"/>
    <mergeCell ref="S92:X93"/>
    <mergeCell ref="B89:D89"/>
    <mergeCell ref="B90:D90"/>
    <mergeCell ref="J90:P91"/>
    <mergeCell ref="Q90:Q91"/>
    <mergeCell ref="R90:R91"/>
    <mergeCell ref="S90:X91"/>
    <mergeCell ref="E88:G89"/>
    <mergeCell ref="E91:G92"/>
    <mergeCell ref="A96:D96"/>
    <mergeCell ref="J96:P97"/>
    <mergeCell ref="Q96:Q97"/>
    <mergeCell ref="R96:R97"/>
    <mergeCell ref="S96:X97"/>
    <mergeCell ref="J94:P95"/>
    <mergeCell ref="Q94:Q95"/>
    <mergeCell ref="R94:R95"/>
    <mergeCell ref="S94:X95"/>
    <mergeCell ref="E95:G96"/>
    <mergeCell ref="J104:M104"/>
    <mergeCell ref="S104:U104"/>
    <mergeCell ref="A97:D98"/>
    <mergeCell ref="E98:G98"/>
    <mergeCell ref="J98:P98"/>
    <mergeCell ref="A99:D101"/>
    <mergeCell ref="E99:G99"/>
    <mergeCell ref="E100:G101"/>
    <mergeCell ref="I99:P99"/>
    <mergeCell ref="I100:P101"/>
    <mergeCell ref="R99:X99"/>
    <mergeCell ref="R100:X101"/>
    <mergeCell ref="Q109:Q110"/>
    <mergeCell ref="R109:R110"/>
    <mergeCell ref="S109:X110"/>
    <mergeCell ref="B105:D105"/>
    <mergeCell ref="J105:P105"/>
    <mergeCell ref="S105:X105"/>
    <mergeCell ref="B106:D106"/>
    <mergeCell ref="J106:P108"/>
    <mergeCell ref="Q106:Q108"/>
    <mergeCell ref="R106:R108"/>
    <mergeCell ref="S106:X108"/>
    <mergeCell ref="E106:G107"/>
    <mergeCell ref="Q115:Q116"/>
    <mergeCell ref="R115:R116"/>
    <mergeCell ref="S115:X116"/>
    <mergeCell ref="E116:G117"/>
    <mergeCell ref="B112:D112"/>
    <mergeCell ref="J113:P114"/>
    <mergeCell ref="Q113:Q114"/>
    <mergeCell ref="R113:R114"/>
    <mergeCell ref="S113:X114"/>
    <mergeCell ref="J111:P112"/>
    <mergeCell ref="Q111:Q112"/>
    <mergeCell ref="R111:R112"/>
    <mergeCell ref="E112:G113"/>
    <mergeCell ref="R127:R129"/>
    <mergeCell ref="S127:X129"/>
    <mergeCell ref="E127:G128"/>
    <mergeCell ref="E124:G124"/>
    <mergeCell ref="B125:D125"/>
    <mergeCell ref="J125:M125"/>
    <mergeCell ref="S125:U125"/>
    <mergeCell ref="A118:D119"/>
    <mergeCell ref="E119:G119"/>
    <mergeCell ref="J119:P119"/>
    <mergeCell ref="A120:D122"/>
    <mergeCell ref="E120:G120"/>
    <mergeCell ref="E121:G122"/>
    <mergeCell ref="J117:P118"/>
    <mergeCell ref="Q117:Q118"/>
    <mergeCell ref="R117:R118"/>
    <mergeCell ref="S117:X118"/>
    <mergeCell ref="I19:X19"/>
    <mergeCell ref="I57:P57"/>
    <mergeCell ref="R57:X57"/>
    <mergeCell ref="A139:D140"/>
    <mergeCell ref="E140:G140"/>
    <mergeCell ref="J140:P140"/>
    <mergeCell ref="A141:D143"/>
    <mergeCell ref="E141:G141"/>
    <mergeCell ref="E142:G143"/>
    <mergeCell ref="A138:D138"/>
    <mergeCell ref="J138:P139"/>
    <mergeCell ref="Q138:Q139"/>
    <mergeCell ref="R138:R139"/>
    <mergeCell ref="S138:X139"/>
    <mergeCell ref="J136:P137"/>
    <mergeCell ref="Q136:Q137"/>
    <mergeCell ref="R136:R137"/>
    <mergeCell ref="S136:X137"/>
    <mergeCell ref="S132:X133"/>
    <mergeCell ref="B133:D133"/>
    <mergeCell ref="I78:P78"/>
    <mergeCell ref="R78:X78"/>
    <mergeCell ref="B131:D131"/>
    <mergeCell ref="B132:D132"/>
    <mergeCell ref="R141:X141"/>
    <mergeCell ref="R142:X143"/>
    <mergeCell ref="I79:P80"/>
    <mergeCell ref="R79:X80"/>
    <mergeCell ref="I120:P120"/>
    <mergeCell ref="I121:P122"/>
    <mergeCell ref="R120:X120"/>
    <mergeCell ref="R121:X122"/>
    <mergeCell ref="J134:P135"/>
    <mergeCell ref="Q134:Q135"/>
    <mergeCell ref="R134:R135"/>
    <mergeCell ref="S134:X135"/>
    <mergeCell ref="S130:X131"/>
    <mergeCell ref="S111:X112"/>
    <mergeCell ref="J132:P133"/>
    <mergeCell ref="Q132:Q133"/>
    <mergeCell ref="R132:R133"/>
    <mergeCell ref="J130:P131"/>
    <mergeCell ref="Q130:Q131"/>
    <mergeCell ref="R130:R131"/>
    <mergeCell ref="J126:P126"/>
    <mergeCell ref="S126:X126"/>
    <mergeCell ref="J127:P129"/>
    <mergeCell ref="Q127:Q129"/>
    <mergeCell ref="E137:G138"/>
    <mergeCell ref="B65:D65"/>
    <mergeCell ref="B86:D86"/>
    <mergeCell ref="B107:D107"/>
    <mergeCell ref="B128:D128"/>
    <mergeCell ref="B44:D44"/>
    <mergeCell ref="I141:P141"/>
    <mergeCell ref="I142:P143"/>
    <mergeCell ref="B129:D129"/>
    <mergeCell ref="B130:D130"/>
    <mergeCell ref="E130:G131"/>
    <mergeCell ref="E133:G134"/>
    <mergeCell ref="B126:D126"/>
    <mergeCell ref="B127:D127"/>
    <mergeCell ref="A117:D117"/>
    <mergeCell ref="J115:P116"/>
    <mergeCell ref="B110:D110"/>
    <mergeCell ref="B111:D111"/>
    <mergeCell ref="E109:G110"/>
    <mergeCell ref="B108:D108"/>
    <mergeCell ref="B109:D109"/>
    <mergeCell ref="J109:P110"/>
    <mergeCell ref="E103:G103"/>
    <mergeCell ref="B104:D104"/>
  </mergeCells>
  <conditionalFormatting sqref="T2">
    <cfRule type="iconSet" priority="433">
      <iconSet iconSet="3TrafficLights2">
        <cfvo type="percent" val="0"/>
        <cfvo type="percent" val="33"/>
        <cfvo type="percent" val="67"/>
      </iconSet>
    </cfRule>
  </conditionalFormatting>
  <conditionalFormatting sqref="F21 F34 F46 F49 F53 F42 F55 F63 F84 F105 F126 F66:F67 F69:F70 F73:F74 F76 F87:F88 F90:F91 F94:F95 F97 F108:F109 F111:F112 F115:F116 F118 F129:F130 F132:F133 F136:F137 F139 F147 F150:F151 F153:F154 F157:F158 F160 F168 F171:F172 F174:F175 F178:F179 F181 F189 F192:F193 F195:F196 F199:F200 F202 F210 F213:F214 F216:F217 F220:F221 F223 F231 F234:F235 F237:F238 F241:F242 F244">
    <cfRule type="expression" dxfId="129" priority="430">
      <formula>$G21=$E$2</formula>
    </cfRule>
    <cfRule type="expression" dxfId="128" priority="431">
      <formula>$G21=$E$3</formula>
    </cfRule>
    <cfRule type="expression" dxfId="127" priority="432">
      <formula>$G21=$E$4</formula>
    </cfRule>
  </conditionalFormatting>
  <conditionalFormatting sqref="G21:G24 G27 G31 G34:G35 G42:G56 G63:G77 G84:G98 G105:G119 G126:G140 G147:G161 G168:G182 G189:G203 G210:G224 G231:G245">
    <cfRule type="expression" dxfId="126" priority="429">
      <formula>$G21=$E$1</formula>
    </cfRule>
  </conditionalFormatting>
  <conditionalFormatting sqref="R21:R35 R42:R56 R63:R77 R84:R98 R105:R119 R126:R140 R147:R161 R168:R182 R189:R203 R210:R224 R231:R245">
    <cfRule type="expression" dxfId="125" priority="428">
      <formula>$R21=$R$1</formula>
    </cfRule>
  </conditionalFormatting>
  <conditionalFormatting sqref="B25 B46 B67 B88 B130 B109">
    <cfRule type="expression" dxfId="124" priority="426">
      <formula>$B25=$B$4</formula>
    </cfRule>
  </conditionalFormatting>
  <conditionalFormatting sqref="B25:D25 B46:D46 B67:D67 B88:D88 B130:D130 B109:D109">
    <cfRule type="expression" dxfId="123" priority="423">
      <formula>OR($B25=$B$3,$B26=$A$3)</formula>
    </cfRule>
    <cfRule type="expression" dxfId="122" priority="424">
      <formula>OR($B25=$B$2,$B26=$A$4)</formula>
    </cfRule>
    <cfRule type="expression" dxfId="121" priority="425">
      <formula>$B25=$B$1</formula>
    </cfRule>
  </conditionalFormatting>
  <conditionalFormatting sqref="B27:D27 B48:D48 B69:D69 B90:D90 B132:D132 B111:D111">
    <cfRule type="expression" dxfId="120" priority="419">
      <formula>$B27=$B$3</formula>
    </cfRule>
    <cfRule type="expression" dxfId="119" priority="420">
      <formula>$B27=$B$2</formula>
    </cfRule>
    <cfRule type="expression" dxfId="118" priority="421">
      <formula>$B27=$B$1</formula>
    </cfRule>
    <cfRule type="expression" dxfId="117" priority="422">
      <formula>$B27=$B$4</formula>
    </cfRule>
  </conditionalFormatting>
  <conditionalFormatting sqref="B28:D28 B49:D49 B70:D70 B91:D91 B133:D133 B112:D112">
    <cfRule type="expression" dxfId="116" priority="415">
      <formula>$B28=$A$1</formula>
    </cfRule>
    <cfRule type="expression" dxfId="115" priority="416">
      <formula>$B28=$A$2</formula>
    </cfRule>
    <cfRule type="expression" dxfId="114" priority="417">
      <formula>$B28=$A$3</formula>
    </cfRule>
    <cfRule type="expression" dxfId="113" priority="418">
      <formula>$B28=$A$4</formula>
    </cfRule>
  </conditionalFormatting>
  <conditionalFormatting sqref="D53 D74 D95 D116 D137 D158 D179 D200 D221 D242">
    <cfRule type="expression" dxfId="112" priority="414">
      <formula>$D53=$G$1</formula>
    </cfRule>
  </conditionalFormatting>
  <conditionalFormatting sqref="C53 C32 C74 C95 C116 C137 C158 C179 C200 C221 C242">
    <cfRule type="expression" dxfId="111" priority="413">
      <formula>$C32=$G$1</formula>
    </cfRule>
  </conditionalFormatting>
  <conditionalFormatting sqref="B53 B32 B74 B95 B116 B137 B158 B179 B200 B221 B242">
    <cfRule type="expression" dxfId="110" priority="412">
      <formula>$B32=$G$1</formula>
    </cfRule>
  </conditionalFormatting>
  <conditionalFormatting sqref="B49:D49 B70:D70 B91:D91 B112:D112 B133:D133">
    <cfRule type="expression" dxfId="109" priority="400">
      <formula>$B49=$A$1</formula>
    </cfRule>
    <cfRule type="expression" dxfId="108" priority="401">
      <formula>$B49=$A$2</formula>
    </cfRule>
    <cfRule type="expression" dxfId="107" priority="402">
      <formula>$B49=$A$3</formula>
    </cfRule>
    <cfRule type="expression" dxfId="106" priority="403">
      <formula>$B49=$A$4</formula>
    </cfRule>
  </conditionalFormatting>
  <conditionalFormatting sqref="I21:I35 I42:I56 I63:I77 I84:I98 I105:I119 I126:I140 I147:I161 I168:I182 I189:I203 I210:I224 I231:I245">
    <cfRule type="expression" dxfId="105" priority="435">
      <formula>$I21=$R$1</formula>
    </cfRule>
  </conditionalFormatting>
  <conditionalFormatting sqref="B20:D20 B41:D41 B62:D62 B83:D83 B125:D125 B146:D146 B167:D167 B188:D188 B209:D209 B230:D230 B104:D104">
    <cfRule type="expression" dxfId="104" priority="351">
      <formula>$B20=$J$1</formula>
    </cfRule>
  </conditionalFormatting>
  <conditionalFormatting sqref="B19:D19">
    <cfRule type="cellIs" dxfId="103" priority="325" operator="equal">
      <formula>$C$1</formula>
    </cfRule>
  </conditionalFormatting>
  <conditionalFormatting sqref="C23:D23 C44:D44 C65:D65 C86:D86 C128:D128 C149:D149 C170:D170 C191:D191 C212:D212 C233:D233 C107:D107">
    <cfRule type="cellIs" dxfId="102" priority="324" operator="equal">
      <formula>$D$1</formula>
    </cfRule>
  </conditionalFormatting>
  <conditionalFormatting sqref="F24">
    <cfRule type="expression" dxfId="101" priority="316">
      <formula>$G24=$E$2</formula>
    </cfRule>
    <cfRule type="expression" dxfId="100" priority="317">
      <formula>$G24=$E$3</formula>
    </cfRule>
    <cfRule type="expression" dxfId="99" priority="318">
      <formula>$G24=$E$4</formula>
    </cfRule>
  </conditionalFormatting>
  <conditionalFormatting sqref="F27">
    <cfRule type="expression" dxfId="98" priority="313">
      <formula>$G27=$E$2</formula>
    </cfRule>
    <cfRule type="expression" dxfId="97" priority="314">
      <formula>$G27=$E$3</formula>
    </cfRule>
    <cfRule type="expression" dxfId="96" priority="315">
      <formula>$G27=$E$4</formula>
    </cfRule>
  </conditionalFormatting>
  <conditionalFormatting sqref="F31">
    <cfRule type="expression" dxfId="95" priority="310">
      <formula>$G31=$E$2</formula>
    </cfRule>
    <cfRule type="expression" dxfId="94" priority="311">
      <formula>$G31=$E$3</formula>
    </cfRule>
    <cfRule type="expression" dxfId="93" priority="312">
      <formula>$G31=$E$4</formula>
    </cfRule>
  </conditionalFormatting>
  <conditionalFormatting sqref="F45">
    <cfRule type="expression" dxfId="92" priority="307">
      <formula>$G45=$E$2</formula>
    </cfRule>
    <cfRule type="expression" dxfId="91" priority="308">
      <formula>$G45=$E$3</formula>
    </cfRule>
    <cfRule type="expression" dxfId="90" priority="309">
      <formula>$G45=$E$4</formula>
    </cfRule>
  </conditionalFormatting>
  <conditionalFormatting sqref="F48">
    <cfRule type="expression" dxfId="89" priority="304">
      <formula>$G48=$E$2</formula>
    </cfRule>
    <cfRule type="expression" dxfId="88" priority="305">
      <formula>$G48=$E$3</formula>
    </cfRule>
    <cfRule type="expression" dxfId="87" priority="306">
      <formula>$G48=$E$4</formula>
    </cfRule>
  </conditionalFormatting>
  <conditionalFormatting sqref="F52">
    <cfRule type="expression" dxfId="86" priority="301">
      <formula>$G52=$E$2</formula>
    </cfRule>
    <cfRule type="expression" dxfId="85" priority="302">
      <formula>$G52=$E$3</formula>
    </cfRule>
    <cfRule type="expression" dxfId="84" priority="303">
      <formula>$G52=$E$4</formula>
    </cfRule>
  </conditionalFormatting>
  <conditionalFormatting sqref="F55">
    <cfRule type="expression" dxfId="83" priority="298">
      <formula>$G55=$E$2</formula>
    </cfRule>
    <cfRule type="expression" dxfId="82" priority="299">
      <formula>$G55=$E$3</formula>
    </cfRule>
    <cfRule type="expression" dxfId="81" priority="300">
      <formula>$G55=$E$4</formula>
    </cfRule>
  </conditionalFormatting>
  <conditionalFormatting sqref="D32">
    <cfRule type="expression" dxfId="80" priority="249">
      <formula>$D32=$G$1</formula>
    </cfRule>
  </conditionalFormatting>
  <conditionalFormatting sqref="B151">
    <cfRule type="expression" dxfId="79" priority="229">
      <formula>$B151=$B$4</formula>
    </cfRule>
  </conditionalFormatting>
  <conditionalFormatting sqref="B151:D151">
    <cfRule type="expression" dxfId="78" priority="226">
      <formula>OR($B151=$B$3,$B152=$A$3)</formula>
    </cfRule>
    <cfRule type="expression" dxfId="77" priority="227">
      <formula>OR($B151=$B$2,$B152=$A$4)</formula>
    </cfRule>
    <cfRule type="expression" dxfId="76" priority="228">
      <formula>$B151=$B$1</formula>
    </cfRule>
  </conditionalFormatting>
  <conditionalFormatting sqref="B153:D153">
    <cfRule type="expression" dxfId="75" priority="222">
      <formula>$B153=$B$3</formula>
    </cfRule>
    <cfRule type="expression" dxfId="74" priority="223">
      <formula>$B153=$B$2</formula>
    </cfRule>
    <cfRule type="expression" dxfId="73" priority="224">
      <formula>$B153=$B$1</formula>
    </cfRule>
    <cfRule type="expression" dxfId="72" priority="225">
      <formula>$B153=$B$4</formula>
    </cfRule>
  </conditionalFormatting>
  <conditionalFormatting sqref="B154:D154">
    <cfRule type="expression" dxfId="71" priority="218">
      <formula>$B154=$A$1</formula>
    </cfRule>
    <cfRule type="expression" dxfId="70" priority="219">
      <formula>$B154=$A$2</formula>
    </cfRule>
    <cfRule type="expression" dxfId="69" priority="220">
      <formula>$B154=$A$3</formula>
    </cfRule>
    <cfRule type="expression" dxfId="68" priority="221">
      <formula>$B154=$A$4</formula>
    </cfRule>
  </conditionalFormatting>
  <conditionalFormatting sqref="B154:D154">
    <cfRule type="expression" dxfId="67" priority="214">
      <formula>$B154=$A$1</formula>
    </cfRule>
    <cfRule type="expression" dxfId="66" priority="215">
      <formula>$B154=$A$2</formula>
    </cfRule>
    <cfRule type="expression" dxfId="65" priority="216">
      <formula>$B154=$A$3</formula>
    </cfRule>
    <cfRule type="expression" dxfId="64" priority="217">
      <formula>$B154=$A$4</formula>
    </cfRule>
  </conditionalFormatting>
  <conditionalFormatting sqref="B172">
    <cfRule type="expression" dxfId="63" priority="190">
      <formula>$B172=$B$4</formula>
    </cfRule>
  </conditionalFormatting>
  <conditionalFormatting sqref="B172:D172">
    <cfRule type="expression" dxfId="62" priority="187">
      <formula>OR($B172=$B$3,$B173=$A$3)</formula>
    </cfRule>
    <cfRule type="expression" dxfId="61" priority="188">
      <formula>OR($B172=$B$2,$B173=$A$4)</formula>
    </cfRule>
    <cfRule type="expression" dxfId="60" priority="189">
      <formula>$B172=$B$1</formula>
    </cfRule>
  </conditionalFormatting>
  <conditionalFormatting sqref="B174:D174">
    <cfRule type="expression" dxfId="59" priority="183">
      <formula>$B174=$B$3</formula>
    </cfRule>
    <cfRule type="expression" dxfId="58" priority="184">
      <formula>$B174=$B$2</formula>
    </cfRule>
    <cfRule type="expression" dxfId="57" priority="185">
      <formula>$B174=$B$1</formula>
    </cfRule>
    <cfRule type="expression" dxfId="56" priority="186">
      <formula>$B174=$B$4</formula>
    </cfRule>
  </conditionalFormatting>
  <conditionalFormatting sqref="B175:D175">
    <cfRule type="expression" dxfId="55" priority="179">
      <formula>$B175=$A$1</formula>
    </cfRule>
    <cfRule type="expression" dxfId="54" priority="180">
      <formula>$B175=$A$2</formula>
    </cfRule>
    <cfRule type="expression" dxfId="53" priority="181">
      <formula>$B175=$A$3</formula>
    </cfRule>
    <cfRule type="expression" dxfId="52" priority="182">
      <formula>$B175=$A$4</formula>
    </cfRule>
  </conditionalFormatting>
  <conditionalFormatting sqref="B175:D175">
    <cfRule type="expression" dxfId="51" priority="175">
      <formula>$B175=$A$1</formula>
    </cfRule>
    <cfRule type="expression" dxfId="50" priority="176">
      <formula>$B175=$A$2</formula>
    </cfRule>
    <cfRule type="expression" dxfId="49" priority="177">
      <formula>$B175=$A$3</formula>
    </cfRule>
    <cfRule type="expression" dxfId="48" priority="178">
      <formula>$B175=$A$4</formula>
    </cfRule>
  </conditionalFormatting>
  <conditionalFormatting sqref="B193">
    <cfRule type="expression" dxfId="47" priority="151">
      <formula>$B193=$B$4</formula>
    </cfRule>
  </conditionalFormatting>
  <conditionalFormatting sqref="B193:D193">
    <cfRule type="expression" dxfId="46" priority="148">
      <formula>OR($B193=$B$3,$B194=$A$3)</formula>
    </cfRule>
    <cfRule type="expression" dxfId="45" priority="149">
      <formula>OR($B193=$B$2,$B194=$A$4)</formula>
    </cfRule>
    <cfRule type="expression" dxfId="44" priority="150">
      <formula>$B193=$B$1</formula>
    </cfRule>
  </conditionalFormatting>
  <conditionalFormatting sqref="B195:D195">
    <cfRule type="expression" dxfId="43" priority="144">
      <formula>$B195=$B$3</formula>
    </cfRule>
    <cfRule type="expression" dxfId="42" priority="145">
      <formula>$B195=$B$2</formula>
    </cfRule>
    <cfRule type="expression" dxfId="41" priority="146">
      <formula>$B195=$B$1</formula>
    </cfRule>
    <cfRule type="expression" dxfId="40" priority="147">
      <formula>$B195=$B$4</formula>
    </cfRule>
  </conditionalFormatting>
  <conditionalFormatting sqref="B196:D196">
    <cfRule type="expression" dxfId="39" priority="140">
      <formula>$B196=$A$1</formula>
    </cfRule>
    <cfRule type="expression" dxfId="38" priority="141">
      <formula>$B196=$A$2</formula>
    </cfRule>
    <cfRule type="expression" dxfId="37" priority="142">
      <formula>$B196=$A$3</formula>
    </cfRule>
    <cfRule type="expression" dxfId="36" priority="143">
      <formula>$B196=$A$4</formula>
    </cfRule>
  </conditionalFormatting>
  <conditionalFormatting sqref="B196:D196">
    <cfRule type="expression" dxfId="35" priority="136">
      <formula>$B196=$A$1</formula>
    </cfRule>
    <cfRule type="expression" dxfId="34" priority="137">
      <formula>$B196=$A$2</formula>
    </cfRule>
    <cfRule type="expression" dxfId="33" priority="138">
      <formula>$B196=$A$3</formula>
    </cfRule>
    <cfRule type="expression" dxfId="32" priority="139">
      <formula>$B196=$A$4</formula>
    </cfRule>
  </conditionalFormatting>
  <conditionalFormatting sqref="B214">
    <cfRule type="expression" dxfId="31" priority="112">
      <formula>$B214=$B$4</formula>
    </cfRule>
  </conditionalFormatting>
  <conditionalFormatting sqref="B214:D214">
    <cfRule type="expression" dxfId="30" priority="109">
      <formula>OR($B214=$B$3,$B215=$A$3)</formula>
    </cfRule>
    <cfRule type="expression" dxfId="29" priority="110">
      <formula>OR($B214=$B$2,$B215=$A$4)</formula>
    </cfRule>
    <cfRule type="expression" dxfId="28" priority="111">
      <formula>$B214=$B$1</formula>
    </cfRule>
  </conditionalFormatting>
  <conditionalFormatting sqref="B216:D216">
    <cfRule type="expression" dxfId="27" priority="105">
      <formula>$B216=$B$3</formula>
    </cfRule>
    <cfRule type="expression" dxfId="26" priority="106">
      <formula>$B216=$B$2</formula>
    </cfRule>
    <cfRule type="expression" dxfId="25" priority="107">
      <formula>$B216=$B$1</formula>
    </cfRule>
    <cfRule type="expression" dxfId="24" priority="108">
      <formula>$B216=$B$4</formula>
    </cfRule>
  </conditionalFormatting>
  <conditionalFormatting sqref="B217:D217">
    <cfRule type="expression" dxfId="23" priority="101">
      <formula>$B217=$A$1</formula>
    </cfRule>
    <cfRule type="expression" dxfId="22" priority="102">
      <formula>$B217=$A$2</formula>
    </cfRule>
    <cfRule type="expression" dxfId="21" priority="103">
      <formula>$B217=$A$3</formula>
    </cfRule>
    <cfRule type="expression" dxfId="20" priority="104">
      <formula>$B217=$A$4</formula>
    </cfRule>
  </conditionalFormatting>
  <conditionalFormatting sqref="B217:D217">
    <cfRule type="expression" dxfId="19" priority="97">
      <formula>$B217=$A$1</formula>
    </cfRule>
    <cfRule type="expression" dxfId="18" priority="98">
      <formula>$B217=$A$2</formula>
    </cfRule>
    <cfRule type="expression" dxfId="17" priority="99">
      <formula>$B217=$A$3</formula>
    </cfRule>
    <cfRule type="expression" dxfId="16" priority="100">
      <formula>$B217=$A$4</formula>
    </cfRule>
  </conditionalFormatting>
  <conditionalFormatting sqref="B235">
    <cfRule type="expression" dxfId="15" priority="73">
      <formula>$B235=$B$4</formula>
    </cfRule>
  </conditionalFormatting>
  <conditionalFormatting sqref="B235:D235">
    <cfRule type="expression" dxfId="14" priority="70">
      <formula>OR($B235=$B$3,$B236=$A$3)</formula>
    </cfRule>
    <cfRule type="expression" dxfId="13" priority="71">
      <formula>OR($B235=$B$2,$B236=$A$4)</formula>
    </cfRule>
    <cfRule type="expression" dxfId="12" priority="72">
      <formula>$B235=$B$1</formula>
    </cfRule>
  </conditionalFormatting>
  <conditionalFormatting sqref="B237:D237">
    <cfRule type="expression" dxfId="11" priority="66">
      <formula>$B237=$B$3</formula>
    </cfRule>
    <cfRule type="expression" dxfId="10" priority="67">
      <formula>$B237=$B$2</formula>
    </cfRule>
    <cfRule type="expression" dxfId="9" priority="68">
      <formula>$B237=$B$1</formula>
    </cfRule>
    <cfRule type="expression" dxfId="8" priority="69">
      <formula>$B237=$B$4</formula>
    </cfRule>
  </conditionalFormatting>
  <conditionalFormatting sqref="B238:D238">
    <cfRule type="expression" dxfId="7" priority="62">
      <formula>$B238=$A$1</formula>
    </cfRule>
    <cfRule type="expression" dxfId="6" priority="63">
      <formula>$B238=$A$2</formula>
    </cfRule>
    <cfRule type="expression" dxfId="5" priority="64">
      <formula>$B238=$A$3</formula>
    </cfRule>
    <cfRule type="expression" dxfId="4" priority="65">
      <formula>$B238=$A$4</formula>
    </cfRule>
  </conditionalFormatting>
  <conditionalFormatting sqref="B238:D238">
    <cfRule type="expression" dxfId="3" priority="58">
      <formula>$B238=$A$1</formula>
    </cfRule>
    <cfRule type="expression" dxfId="2" priority="59">
      <formula>$B238=$A$2</formula>
    </cfRule>
    <cfRule type="expression" dxfId="1" priority="60">
      <formula>$B238=$A$3</formula>
    </cfRule>
    <cfRule type="expression" dxfId="0" priority="61">
      <formula>$B238=$A$4</formula>
    </cfRule>
  </conditionalFormatting>
  <dataValidations count="10">
    <dataValidation type="list" allowBlank="1" showInputMessage="1" showErrorMessage="1" prompt="4 - Below Meets&#10;5 - Meets&#10;6 - Exceeds results&#10;8 - Exceeds leadership&#10;9 - Exceptional" sqref="C95:D95 C116:D116 C53:D53 C32:D32 C74:D74 C137:D137 C158:D158 C179:D179 C200:D200 C221:D221 C242:D242">
      <formula1>$G$1:$G$7</formula1>
    </dataValidation>
    <dataValidation type="list" allowBlank="1" showInputMessage="1" showErrorMessage="1" promptTitle="PMP Rating Descriptions" prompt="4 - Below Meets&#10;5 - Meets&#10;6 - Exceeds results&#10;8 - Exceeds leadership&#10;9 - Exceptional" sqref="B53 B116 B32 B95 B74 B137 B158 B179 B200 B221 B242">
      <formula1>$G$1:$G$7</formula1>
    </dataValidation>
    <dataValidation type="list" allowBlank="1" showInputMessage="1" showErrorMessage="1" sqref="G31 G105 G118:G119 G108 G111 G115 G84 G97:G98 G87 G24 G27 G42 G55:G56 G45 G48 G52 G63 G76:G77 G66 G69 G73 G21 G34:G35 G90 G94 G126 G139:G140 G129 G132 G136 G147 G160:G161 G150 G153 G157 G168 G181:G182 G171 G174 G178 G189 G202:G203 G192 G195 G199 G210 G223:G224 G213 G216 G220 G231 G244:G245 G234 G237 G241">
      <formula1>$E$1:$E$4</formula1>
    </dataValidation>
    <dataValidation type="list" allowBlank="1" showInputMessage="1" showErrorMessage="1" sqref="B112:D112 B70:D70 B49:D49 B91:D91 B28:D28 B133:D133 B154:D154 B175:D175 B196:D196 B217:D217 B238:D238">
      <formula1>$A$1:$A$4</formula1>
    </dataValidation>
    <dataValidation type="list" allowBlank="1" showInputMessage="1" showErrorMessage="1" sqref="B132:D132 B130:D130 B109:D109 B88:D88 B67:D67 B69:D69 B90:D90 B111:D111 B48:D48 B27:D27 B46:D46 B25:D25 B153:D153 B151:D151 B174:D174 B172:D172 B195:D195 B193:D193 B216:D216 B214:D214 B237:D237 B235:D235">
      <formula1>$B$1:$B$4</formula1>
    </dataValidation>
    <dataValidation type="list" allowBlank="1" showInputMessage="1" showErrorMessage="1" sqref="B20:D20 B41:D41 B62:D62 B83:D83 B104:D104 B125:D125 B146:D146 B167:D167 B188:D188 B209:D209 B230:D230">
      <formula1>$J$1:$J$4</formula1>
    </dataValidation>
    <dataValidation type="list" allowBlank="1" showInputMessage="1" showErrorMessage="1" sqref="B19:D19">
      <formula1>$C$1:$C$15</formula1>
    </dataValidation>
    <dataValidation type="textLength" operator="lessThanOrEqual" allowBlank="1" showInputMessage="1" showErrorMessage="1" errorTitle="Reduce characters in this field" error="There is a 125 character limit. Please reduce wording in this feild" promptTitle="125 character limit" prompt="This information is being presented in the Executive Review binder.  Development plan needs to be concise (i.e one short sentence)" sqref="E37:G38 I142:P143 I121:P122 I100:P101 I79:P80 I37:P38 R142:X143 R121:X122 R100:X101 R79:X80 R37:X38 E142:G143 E121:G122 E100:G101 E79:G80 I163:P164 R163:X164 E163:G164 I184:P185 R184:X185 E184:G185 I205:P206 R205:X206 E205:G206 I226:P227 R226:X227 E226:G227 I247:P248 R247:X248 E247:G248">
      <formula1>125</formula1>
    </dataValidation>
    <dataValidation type="textLength" operator="lessThanOrEqual" allowBlank="1" showInputMessage="1" showErrorMessage="1" errorTitle="Reduce characters in this field" error="There is a 125 character limit. Please reduce wording in this feild" promptTitle="125 Character limit" prompt="This information is being presented in the Executive Review binder.  Development plan needs to be concise (i.e one short sentence)" sqref="E58 I58 H59 R58 Q59">
      <formula1>125</formula1>
    </dataValidation>
    <dataValidation allowBlank="1" showInputMessage="1" showErrorMessage="1" prompt="Enter the time in position" sqref="B23:D23 B44:D44 B65:D65 B86:D86 B107:D107 B128:D128 B149:D149 B170:D170 B191:D191 B212:D212 B233:D233"/>
  </dataValidations>
  <printOptions horizontalCentered="1"/>
  <pageMargins left="0.23622047244094491" right="0.23622047244094491" top="0.39370078740157483" bottom="0.39370078740157483" header="0.31496062992125984" footer="0.31496062992125984"/>
  <pageSetup scale="64" fitToHeight="0" orientation="landscape" r:id="rId1"/>
  <rowBreaks count="5" manualBreakCount="5">
    <brk id="59" max="16383" man="1"/>
    <brk id="101" max="16383" man="1"/>
    <brk id="143" max="16383" man="1"/>
    <brk id="185" max="16383" man="1"/>
    <brk id="227" max="16383" man="1"/>
  </rowBreaks>
  <legacyDrawing r:id="rId2"/>
</worksheet>
</file>

<file path=xl/worksheets/sheet7.xml><?xml version="1.0" encoding="utf-8"?>
<worksheet xmlns="http://schemas.openxmlformats.org/spreadsheetml/2006/main" xmlns:r="http://schemas.openxmlformats.org/officeDocument/2006/relationships">
  <sheetPr codeName="Sheet1"/>
  <dimension ref="A1:S25"/>
  <sheetViews>
    <sheetView tabSelected="1" zoomScale="115" zoomScaleNormal="115" workbookViewId="0">
      <selection activeCell="I4" sqref="I4"/>
    </sheetView>
  </sheetViews>
  <sheetFormatPr defaultRowHeight="15"/>
  <cols>
    <col min="1" max="1" width="15.5703125" style="110" customWidth="1"/>
    <col min="2" max="2" width="9.42578125" style="110" bestFit="1" customWidth="1"/>
    <col min="3" max="3" width="11.140625" style="110" customWidth="1"/>
    <col min="4" max="4" width="12.42578125" style="110" customWidth="1"/>
    <col min="5" max="5" width="18" style="110" customWidth="1"/>
    <col min="6" max="6" width="11.85546875" style="110" customWidth="1"/>
    <col min="7" max="7" width="7.42578125" style="110" customWidth="1"/>
    <col min="8" max="8" width="9.140625" style="110" customWidth="1"/>
    <col min="9" max="9" width="9.7109375" style="110" customWidth="1"/>
    <col min="10" max="10" width="4.85546875" style="110" customWidth="1"/>
    <col min="11" max="11" width="17.85546875" style="110" customWidth="1"/>
    <col min="12" max="12" width="11" style="110" customWidth="1"/>
    <col min="13" max="13" width="6.7109375" style="110" customWidth="1"/>
    <col min="14" max="16384" width="9.140625" style="110"/>
  </cols>
  <sheetData>
    <row r="1" spans="1:19">
      <c r="S1" s="110" t="s">
        <v>134</v>
      </c>
    </row>
    <row r="2" spans="1:19" ht="15" customHeight="1">
      <c r="B2" s="109" t="s">
        <v>124</v>
      </c>
    </row>
    <row r="4" spans="1:19">
      <c r="E4" s="110">
        <v>2015</v>
      </c>
      <c r="H4" s="123" t="s">
        <v>153</v>
      </c>
      <c r="I4" s="121">
        <v>1</v>
      </c>
    </row>
    <row r="5" spans="1:19">
      <c r="E5" s="110">
        <v>2014</v>
      </c>
      <c r="H5" s="22" t="s">
        <v>154</v>
      </c>
      <c r="I5" s="122">
        <v>42480</v>
      </c>
    </row>
    <row r="6" spans="1:19">
      <c r="E6" s="110">
        <v>2013</v>
      </c>
    </row>
    <row r="9" spans="1:19">
      <c r="B9" s="111" t="s">
        <v>125</v>
      </c>
      <c r="G9" s="112"/>
    </row>
    <row r="10" spans="1:19">
      <c r="B10" s="110">
        <v>2016</v>
      </c>
    </row>
    <row r="11" spans="1:19">
      <c r="B11" s="110">
        <v>2015</v>
      </c>
    </row>
    <row r="12" spans="1:19">
      <c r="B12" s="110">
        <v>2014</v>
      </c>
      <c r="E12" s="233" t="s">
        <v>142</v>
      </c>
      <c r="F12" s="233"/>
      <c r="G12" s="233"/>
      <c r="H12" s="233"/>
      <c r="I12" s="117" t="s">
        <v>143</v>
      </c>
      <c r="J12" s="117"/>
      <c r="K12" s="117"/>
      <c r="L12" s="117"/>
      <c r="M12" s="117"/>
      <c r="N12" s="118"/>
    </row>
    <row r="13" spans="1:19">
      <c r="A13" s="1"/>
      <c r="B13" s="1"/>
      <c r="C13" s="1"/>
      <c r="D13" s="1"/>
      <c r="E13" s="1"/>
      <c r="F13" s="1"/>
      <c r="G13" s="1"/>
      <c r="H13" s="1"/>
      <c r="I13" s="1"/>
      <c r="J13" s="1"/>
      <c r="K13" s="1"/>
      <c r="L13" s="1"/>
      <c r="M13" s="108"/>
    </row>
    <row r="14" spans="1:19">
      <c r="A14" s="1"/>
      <c r="B14" s="1"/>
      <c r="C14" s="1"/>
      <c r="D14" s="1"/>
      <c r="E14" s="1"/>
      <c r="F14" s="1"/>
      <c r="G14" s="1"/>
      <c r="H14" s="1"/>
      <c r="I14" s="1"/>
      <c r="J14" s="1"/>
      <c r="K14" s="1"/>
      <c r="L14" s="1"/>
      <c r="M14" s="108"/>
    </row>
    <row r="15" spans="1:19" ht="13.5" customHeight="1" thickBot="1">
      <c r="A15" s="1"/>
      <c r="B15" s="1"/>
      <c r="C15" s="1"/>
      <c r="D15" s="1"/>
      <c r="E15" s="1"/>
      <c r="F15" s="1"/>
      <c r="G15" s="1"/>
      <c r="H15" s="1"/>
      <c r="I15" s="1"/>
      <c r="J15" s="1"/>
      <c r="K15" s="1"/>
      <c r="L15" s="1"/>
      <c r="M15" s="108"/>
    </row>
    <row r="16" spans="1:19" ht="16.5" customHeight="1">
      <c r="A16" s="1"/>
      <c r="B16" s="1"/>
      <c r="C16" s="1"/>
      <c r="D16" s="1"/>
      <c r="E16" s="1"/>
      <c r="G16" s="236" t="s">
        <v>139</v>
      </c>
      <c r="H16" s="234" t="s">
        <v>140</v>
      </c>
      <c r="I16" s="234"/>
      <c r="J16" s="234"/>
      <c r="K16" s="234"/>
      <c r="L16" s="234"/>
      <c r="M16" s="234"/>
    </row>
    <row r="17" spans="1:13" ht="17.25" customHeight="1" thickBot="1">
      <c r="A17" s="116" t="s">
        <v>187</v>
      </c>
      <c r="B17" s="115" t="s">
        <v>138</v>
      </c>
      <c r="C17" s="114"/>
      <c r="D17" s="1"/>
      <c r="E17" s="1"/>
      <c r="F17" s="1"/>
      <c r="G17" s="237"/>
      <c r="H17" s="235" t="s">
        <v>141</v>
      </c>
      <c r="I17" s="235"/>
      <c r="J17" s="235"/>
      <c r="K17" s="235"/>
      <c r="L17" s="235"/>
      <c r="M17" s="235"/>
    </row>
    <row r="18" spans="1:13">
      <c r="A18" s="1"/>
      <c r="B18" s="1"/>
      <c r="C18" s="1"/>
      <c r="D18" s="1"/>
      <c r="E18" s="1"/>
      <c r="F18" s="1"/>
      <c r="G18" s="1"/>
      <c r="H18" s="1"/>
      <c r="I18" s="1"/>
      <c r="J18" s="1"/>
      <c r="K18" s="1"/>
      <c r="L18" s="1"/>
      <c r="M18" s="108"/>
    </row>
    <row r="19" spans="1:13" ht="36" customHeight="1" thickBot="1">
      <c r="A19" s="225" t="s">
        <v>186</v>
      </c>
      <c r="B19" s="225"/>
      <c r="C19" s="225"/>
      <c r="D19" s="225"/>
      <c r="E19" s="225"/>
      <c r="F19" s="225"/>
      <c r="G19" s="225"/>
      <c r="H19" s="225"/>
      <c r="I19" s="225"/>
      <c r="J19" s="225"/>
      <c r="K19" s="225"/>
      <c r="L19" s="225"/>
      <c r="M19" s="1"/>
    </row>
    <row r="20" spans="1:13" ht="15.75" customHeight="1" thickTop="1">
      <c r="A20" s="238" t="s">
        <v>130</v>
      </c>
      <c r="B20" s="227" t="s">
        <v>131</v>
      </c>
      <c r="C20" s="227" t="s">
        <v>136</v>
      </c>
      <c r="D20" s="227" t="s">
        <v>137</v>
      </c>
      <c r="E20" s="227" t="s">
        <v>135</v>
      </c>
      <c r="F20" s="227" t="s">
        <v>31</v>
      </c>
      <c r="G20" s="226" t="s">
        <v>132</v>
      </c>
      <c r="H20" s="226"/>
      <c r="I20" s="226"/>
      <c r="J20" s="226"/>
      <c r="K20" s="226"/>
      <c r="L20" s="226"/>
      <c r="M20" s="1"/>
    </row>
    <row r="21" spans="1:13">
      <c r="A21" s="239"/>
      <c r="B21" s="240"/>
      <c r="C21" s="240"/>
      <c r="D21" s="240"/>
      <c r="E21" s="240"/>
      <c r="F21" s="240"/>
      <c r="G21" s="227"/>
      <c r="H21" s="227"/>
      <c r="I21" s="227"/>
      <c r="J21" s="227"/>
      <c r="K21" s="227"/>
      <c r="L21" s="227"/>
      <c r="M21" s="1"/>
    </row>
    <row r="22" spans="1:13" ht="15" customHeight="1">
      <c r="A22" s="223" t="s">
        <v>147</v>
      </c>
      <c r="B22" s="223" t="s">
        <v>107</v>
      </c>
      <c r="C22" s="232" t="s">
        <v>156</v>
      </c>
      <c r="D22" s="243" t="s">
        <v>157</v>
      </c>
      <c r="E22" s="223" t="s">
        <v>150</v>
      </c>
      <c r="F22" s="223" t="s">
        <v>158</v>
      </c>
      <c r="G22" s="228" t="s">
        <v>151</v>
      </c>
      <c r="H22" s="229"/>
      <c r="I22" s="229"/>
      <c r="J22" s="229"/>
      <c r="K22" s="229"/>
      <c r="L22" s="229"/>
      <c r="M22" s="1"/>
    </row>
    <row r="23" spans="1:13" ht="14.25" customHeight="1">
      <c r="A23" s="241"/>
      <c r="B23" s="223"/>
      <c r="C23" s="232"/>
      <c r="D23" s="243"/>
      <c r="E23" s="223"/>
      <c r="F23" s="223"/>
      <c r="G23" s="229"/>
      <c r="H23" s="229"/>
      <c r="I23" s="229"/>
      <c r="J23" s="229"/>
      <c r="K23" s="229"/>
      <c r="L23" s="229"/>
      <c r="M23" s="1"/>
    </row>
    <row r="24" spans="1:13" ht="15" customHeight="1">
      <c r="A24" s="224" t="s">
        <v>133</v>
      </c>
      <c r="B24" s="223">
        <v>8</v>
      </c>
      <c r="C24" s="232"/>
      <c r="D24" s="243"/>
      <c r="E24" s="223"/>
      <c r="F24" s="223"/>
      <c r="G24" s="230" t="s">
        <v>152</v>
      </c>
      <c r="H24" s="231"/>
      <c r="I24" s="231"/>
      <c r="J24" s="231"/>
      <c r="K24" s="231"/>
      <c r="L24" s="231"/>
      <c r="M24" s="1"/>
    </row>
    <row r="25" spans="1:13">
      <c r="A25" s="242"/>
      <c r="B25" s="223"/>
      <c r="C25" s="232"/>
      <c r="D25" s="243"/>
      <c r="E25" s="223"/>
      <c r="F25" s="223"/>
      <c r="G25" s="231"/>
      <c r="H25" s="231"/>
      <c r="I25" s="231"/>
      <c r="J25" s="231"/>
      <c r="K25" s="231"/>
      <c r="L25" s="231"/>
      <c r="M25" s="1"/>
    </row>
  </sheetData>
  <mergeCells count="22">
    <mergeCell ref="E12:H12"/>
    <mergeCell ref="H16:M16"/>
    <mergeCell ref="H17:M17"/>
    <mergeCell ref="G16:G17"/>
    <mergeCell ref="A20:A21"/>
    <mergeCell ref="B20:B21"/>
    <mergeCell ref="C20:C21"/>
    <mergeCell ref="D20:D21"/>
    <mergeCell ref="E20:E21"/>
    <mergeCell ref="F20:F21"/>
    <mergeCell ref="F22:F25"/>
    <mergeCell ref="A24:A25"/>
    <mergeCell ref="B24:B25"/>
    <mergeCell ref="A19:L19"/>
    <mergeCell ref="G20:L21"/>
    <mergeCell ref="G22:L23"/>
    <mergeCell ref="G24:L25"/>
    <mergeCell ref="A22:A23"/>
    <mergeCell ref="B22:B23"/>
    <mergeCell ref="C22:C25"/>
    <mergeCell ref="D22:D25"/>
    <mergeCell ref="E22:E25"/>
  </mergeCells>
  <pageMargins left="0.7" right="0.7" top="0.75" bottom="0.75" header="0.3" footer="0.3"/>
  <pageSetup orientation="portrait" r:id="rId1"/>
  <drawing r:id="rId2"/>
  <legacyDrawing r:id="rId3"/>
  <controls>
    <control shapeId="4097" r:id="rId4" name="CommandButton1"/>
  </controls>
</worksheet>
</file>

<file path=xl/worksheets/sheet8.xml><?xml version="1.0" encoding="utf-8"?>
<worksheet xmlns="http://schemas.openxmlformats.org/spreadsheetml/2006/main" xmlns:r="http://schemas.openxmlformats.org/officeDocument/2006/relationships">
  <sheetPr codeName="Sheet7"/>
  <dimension ref="A1"/>
  <sheetViews>
    <sheetView workbookViewId="0">
      <selection activeCell="F32" sqref="F32"/>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5326a2c9-c7d1-4d41-89fd-5e1ad96438ed">eSpW60772100-13-6</_dlc_DocId>
    <_dlc_DocIdUrl xmlns="5326a2c9-c7d1-4d41-89fd-5e1ad96438ed">
      <Url>http://espace.int.bell.ca/workspaces/Talent_Review_Data/_layouts/DocIdRedir.aspx?ID=eSpW60772100-13-6</Url>
      <Description>eSpW60772100-13-6</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2B9FFC7BDE167649B3AF6F088FA61C6E" ma:contentTypeVersion="1" ma:contentTypeDescription="Create a new document." ma:contentTypeScope="" ma:versionID="fa1399e0fb97d19b41336f76b5819c43">
  <xsd:schema xmlns:xsd="http://www.w3.org/2001/XMLSchema" xmlns:xs="http://www.w3.org/2001/XMLSchema" xmlns:p="http://schemas.microsoft.com/office/2006/metadata/properties" xmlns:ns2="5326a2c9-c7d1-4d41-89fd-5e1ad96438ed" targetNamespace="http://schemas.microsoft.com/office/2006/metadata/properties" ma:root="true" ma:fieldsID="f18c006f1baa2296eff43119f750ce24" ns2:_="">
    <xsd:import namespace="5326a2c9-c7d1-4d41-89fd-5e1ad96438ed"/>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26a2c9-c7d1-4d41-89fd-5e1ad96438e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75F096-CAFC-41F3-AAD4-0017665E9A48}">
  <ds:schemaRefs>
    <ds:schemaRef ds:uri="http://schemas.microsoft.com/sharepoint/events"/>
  </ds:schemaRefs>
</ds:datastoreItem>
</file>

<file path=customXml/itemProps2.xml><?xml version="1.0" encoding="utf-8"?>
<ds:datastoreItem xmlns:ds="http://schemas.openxmlformats.org/officeDocument/2006/customXml" ds:itemID="{0C7A3A5F-EC60-419F-ABDD-438A18E02BFD}">
  <ds:schemaRefs>
    <ds:schemaRef ds:uri="http://schemas.microsoft.com/office/2006/metadata/properties"/>
    <ds:schemaRef ds:uri="http://schemas.microsoft.com/office/infopath/2007/PartnerControls"/>
    <ds:schemaRef ds:uri="5326a2c9-c7d1-4d41-89fd-5e1ad96438ed"/>
  </ds:schemaRefs>
</ds:datastoreItem>
</file>

<file path=customXml/itemProps3.xml><?xml version="1.0" encoding="utf-8"?>
<ds:datastoreItem xmlns:ds="http://schemas.openxmlformats.org/officeDocument/2006/customXml" ds:itemID="{F2F20596-1655-4F89-95F8-D502668F7283}">
  <ds:schemaRefs>
    <ds:schemaRef ds:uri="http://schemas.microsoft.com/sharepoint/v3/contenttype/forms"/>
  </ds:schemaRefs>
</ds:datastoreItem>
</file>

<file path=customXml/itemProps4.xml><?xml version="1.0" encoding="utf-8"?>
<ds:datastoreItem xmlns:ds="http://schemas.openxmlformats.org/officeDocument/2006/customXml" ds:itemID="{8F8F0140-006A-47DD-AAEA-F3577CBA28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26a2c9-c7d1-4d41-89fd-5e1ad96438e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CP5</vt:lpstr>
      <vt:lpstr>CP5 (v2)</vt:lpstr>
      <vt:lpstr>CP5 (v3)</vt:lpstr>
      <vt:lpstr>CP5 (v4)</vt:lpstr>
      <vt:lpstr>Help</vt:lpstr>
      <vt:lpstr>Key Successor Talent Review</vt:lpstr>
      <vt:lpstr>ADMIN</vt:lpstr>
      <vt:lpstr>Sheet1</vt:lpstr>
      <vt:lpstr>EVI_Score1</vt:lpstr>
      <vt:lpstr>EVI_Score2</vt:lpstr>
      <vt:lpstr>EVI_Score3</vt:lpstr>
      <vt:lpstr>PMP_Y1</vt:lpstr>
      <vt:lpstr>PMP_Y2</vt:lpstr>
      <vt:lpstr>PMP_Y3</vt:lpstr>
      <vt:lpstr>'Key Successor Talent Review'!Print_Titles</vt:lpstr>
    </vt:vector>
  </TitlesOfParts>
  <Company>Bell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natasha.bennett</dc:creator>
  <cp:lastModifiedBy>home</cp:lastModifiedBy>
  <cp:lastPrinted>2016-04-04T16:38:04Z</cp:lastPrinted>
  <dcterms:created xsi:type="dcterms:W3CDTF">2016-02-22T14:42:46Z</dcterms:created>
  <dcterms:modified xsi:type="dcterms:W3CDTF">2016-04-19T20:58:18Z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0x0101002B9FFC7BDE167649B3AF6F088FA61C6E</vt:lpwstr>
  </property>
  <property fmtid="{D5CDD505-2E9C-101B-9397-08002B2CF9AE}" pid="3" name="_dlc_DocIdItemGuid">
    <vt:lpwstr>eedc860b-6dfd-4b4a-a23e-87f7e8e61601</vt:lpwstr>
  </property>
</Properties>
</file>